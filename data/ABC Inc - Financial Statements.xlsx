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rsh_p9pt07v\Downloads\"/>
    </mc:Choice>
  </mc:AlternateContent>
  <xr:revisionPtr revIDLastSave="0" documentId="13_ncr:1_{D5D2D371-C7AF-4BF8-9DD7-4CCE68552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 Statement" sheetId="1" r:id="rId1"/>
    <sheet name="Balance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0" i="2" l="1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U54" i="2"/>
  <c r="U59" i="2" s="1"/>
  <c r="U71" i="2" s="1"/>
  <c r="T54" i="2"/>
  <c r="T59" i="2" s="1"/>
  <c r="T71" i="2" s="1"/>
  <c r="S54" i="2"/>
  <c r="S59" i="2" s="1"/>
  <c r="S71" i="2" s="1"/>
  <c r="R54" i="2"/>
  <c r="R59" i="2" s="1"/>
  <c r="R71" i="2" s="1"/>
  <c r="Q54" i="2"/>
  <c r="Q59" i="2" s="1"/>
  <c r="Q71" i="2" s="1"/>
  <c r="P54" i="2"/>
  <c r="P59" i="2" s="1"/>
  <c r="P71" i="2" s="1"/>
  <c r="O54" i="2"/>
  <c r="O59" i="2" s="1"/>
  <c r="O71" i="2" s="1"/>
  <c r="N54" i="2"/>
  <c r="N59" i="2" s="1"/>
  <c r="N71" i="2" s="1"/>
  <c r="M54" i="2"/>
  <c r="M59" i="2" s="1"/>
  <c r="M71" i="2" s="1"/>
  <c r="L54" i="2"/>
  <c r="L59" i="2" s="1"/>
  <c r="L71" i="2" s="1"/>
  <c r="K54" i="2"/>
  <c r="K59" i="2" s="1"/>
  <c r="K71" i="2" s="1"/>
  <c r="J54" i="2"/>
  <c r="J59" i="2" s="1"/>
  <c r="J71" i="2" s="1"/>
  <c r="I54" i="2"/>
  <c r="I59" i="2" s="1"/>
  <c r="I71" i="2" s="1"/>
  <c r="H54" i="2"/>
  <c r="H59" i="2" s="1"/>
  <c r="H71" i="2" s="1"/>
  <c r="G54" i="2"/>
  <c r="G59" i="2" s="1"/>
  <c r="G71" i="2" s="1"/>
  <c r="F54" i="2"/>
  <c r="F59" i="2" s="1"/>
  <c r="F71" i="2" s="1"/>
  <c r="E54" i="2"/>
  <c r="E59" i="2" s="1"/>
  <c r="E71" i="2" s="1"/>
  <c r="D54" i="2"/>
  <c r="D59" i="2" s="1"/>
  <c r="D71" i="2" s="1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U27" i="2"/>
  <c r="U37" i="2" s="1"/>
  <c r="S27" i="2"/>
  <c r="S37" i="2" s="1"/>
  <c r="Q27" i="2"/>
  <c r="Q37" i="2" s="1"/>
  <c r="I27" i="2"/>
  <c r="I37" i="2" s="1"/>
  <c r="G27" i="2"/>
  <c r="G37" i="2" s="1"/>
  <c r="E27" i="2"/>
  <c r="E37" i="2" s="1"/>
  <c r="U15" i="2"/>
  <c r="T15" i="2"/>
  <c r="T27" i="2" s="1"/>
  <c r="T37" i="2" s="1"/>
  <c r="S15" i="2"/>
  <c r="R15" i="2"/>
  <c r="R27" i="2" s="1"/>
  <c r="R37" i="2" s="1"/>
  <c r="Q15" i="2"/>
  <c r="P15" i="2"/>
  <c r="P27" i="2" s="1"/>
  <c r="P37" i="2" s="1"/>
  <c r="O15" i="2"/>
  <c r="O27" i="2" s="1"/>
  <c r="O37" i="2" s="1"/>
  <c r="N15" i="2"/>
  <c r="N27" i="2" s="1"/>
  <c r="N37" i="2" s="1"/>
  <c r="M15" i="2"/>
  <c r="M27" i="2" s="1"/>
  <c r="M37" i="2" s="1"/>
  <c r="L15" i="2"/>
  <c r="L27" i="2" s="1"/>
  <c r="L37" i="2" s="1"/>
  <c r="K15" i="2"/>
  <c r="K27" i="2" s="1"/>
  <c r="K37" i="2" s="1"/>
  <c r="J15" i="2"/>
  <c r="J27" i="2" s="1"/>
  <c r="J37" i="2" s="1"/>
  <c r="I15" i="2"/>
  <c r="H15" i="2"/>
  <c r="H27" i="2" s="1"/>
  <c r="H37" i="2" s="1"/>
  <c r="G15" i="2"/>
  <c r="F15" i="2"/>
  <c r="F27" i="2" s="1"/>
  <c r="F37" i="2" s="1"/>
  <c r="E15" i="2"/>
  <c r="D15" i="2"/>
  <c r="D27" i="2" s="1"/>
  <c r="D37" i="2" s="1"/>
  <c r="T71" i="1"/>
  <c r="S71" i="1"/>
  <c r="R71" i="1"/>
  <c r="Q71" i="1"/>
  <c r="P71" i="1"/>
  <c r="O71" i="1"/>
  <c r="N71" i="1"/>
  <c r="M71" i="1"/>
  <c r="L71" i="1"/>
  <c r="L103" i="1" s="1"/>
  <c r="K71" i="1"/>
  <c r="J71" i="1"/>
  <c r="I71" i="1"/>
  <c r="H71" i="1"/>
  <c r="G71" i="1"/>
  <c r="F71" i="1"/>
  <c r="E71" i="1"/>
  <c r="D71" i="1"/>
  <c r="C71" i="1"/>
  <c r="T59" i="1"/>
  <c r="T103" i="1" s="1"/>
  <c r="S59" i="1"/>
  <c r="S103" i="1" s="1"/>
  <c r="R59" i="1"/>
  <c r="R103" i="1" s="1"/>
  <c r="Q59" i="1"/>
  <c r="Q103" i="1" s="1"/>
  <c r="P59" i="1"/>
  <c r="P103" i="1" s="1"/>
  <c r="O59" i="1"/>
  <c r="O103" i="1" s="1"/>
  <c r="N59" i="1"/>
  <c r="N103" i="1" s="1"/>
  <c r="M59" i="1"/>
  <c r="M103" i="1" s="1"/>
  <c r="L59" i="1"/>
  <c r="K59" i="1"/>
  <c r="K103" i="1" s="1"/>
  <c r="J59" i="1"/>
  <c r="J103" i="1" s="1"/>
  <c r="I59" i="1"/>
  <c r="I103" i="1" s="1"/>
  <c r="H59" i="1"/>
  <c r="H103" i="1" s="1"/>
  <c r="G59" i="1"/>
  <c r="G103" i="1" s="1"/>
  <c r="F59" i="1"/>
  <c r="F103" i="1" s="1"/>
  <c r="E59" i="1"/>
  <c r="E103" i="1" s="1"/>
  <c r="D59" i="1"/>
  <c r="D103" i="1" s="1"/>
  <c r="C59" i="1"/>
  <c r="C103" i="1" s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14" i="1"/>
  <c r="T26" i="1" s="1"/>
  <c r="T105" i="1" s="1"/>
  <c r="T107" i="1" s="1"/>
  <c r="S14" i="1"/>
  <c r="S26" i="1" s="1"/>
  <c r="S105" i="1" s="1"/>
  <c r="S107" i="1" s="1"/>
  <c r="R14" i="1"/>
  <c r="R26" i="1" s="1"/>
  <c r="R105" i="1" s="1"/>
  <c r="R107" i="1" s="1"/>
  <c r="Q14" i="1"/>
  <c r="Q26" i="1" s="1"/>
  <c r="Q105" i="1" s="1"/>
  <c r="Q107" i="1" s="1"/>
  <c r="P14" i="1"/>
  <c r="P26" i="1" s="1"/>
  <c r="P105" i="1" s="1"/>
  <c r="P107" i="1" s="1"/>
  <c r="O14" i="1"/>
  <c r="O26" i="1" s="1"/>
  <c r="O105" i="1" s="1"/>
  <c r="O107" i="1" s="1"/>
  <c r="N14" i="1"/>
  <c r="N26" i="1" s="1"/>
  <c r="N105" i="1" s="1"/>
  <c r="N107" i="1" s="1"/>
  <c r="M14" i="1"/>
  <c r="M26" i="1" s="1"/>
  <c r="M105" i="1" s="1"/>
  <c r="M107" i="1" s="1"/>
  <c r="L14" i="1"/>
  <c r="L26" i="1" s="1"/>
  <c r="L105" i="1" s="1"/>
  <c r="L107" i="1" s="1"/>
  <c r="K14" i="1"/>
  <c r="K26" i="1" s="1"/>
  <c r="J14" i="1"/>
  <c r="J26" i="1" s="1"/>
  <c r="J105" i="1" s="1"/>
  <c r="J107" i="1" s="1"/>
  <c r="I14" i="1"/>
  <c r="I26" i="1" s="1"/>
  <c r="I105" i="1" s="1"/>
  <c r="I107" i="1" s="1"/>
  <c r="H14" i="1"/>
  <c r="H26" i="1" s="1"/>
  <c r="H105" i="1" s="1"/>
  <c r="H107" i="1" s="1"/>
  <c r="G14" i="1"/>
  <c r="G26" i="1" s="1"/>
  <c r="G105" i="1" s="1"/>
  <c r="G107" i="1" s="1"/>
  <c r="F14" i="1"/>
  <c r="F26" i="1" s="1"/>
  <c r="F105" i="1" s="1"/>
  <c r="F107" i="1" s="1"/>
  <c r="E14" i="1"/>
  <c r="E26" i="1" s="1"/>
  <c r="E105" i="1" s="1"/>
  <c r="E107" i="1" s="1"/>
  <c r="D14" i="1"/>
  <c r="D26" i="1" s="1"/>
  <c r="D105" i="1" s="1"/>
  <c r="D107" i="1" s="1"/>
  <c r="C14" i="1"/>
  <c r="C26" i="1" s="1"/>
  <c r="K105" i="1" l="1"/>
  <c r="K107" i="1" s="1"/>
  <c r="C105" i="1"/>
  <c r="C107" i="1" s="1"/>
</calcChain>
</file>

<file path=xl/sharedStrings.xml><?xml version="1.0" encoding="utf-8"?>
<sst xmlns="http://schemas.openxmlformats.org/spreadsheetml/2006/main" count="204" uniqueCount="202">
  <si>
    <t>Balance Sheet</t>
  </si>
  <si>
    <t>Income Statement (Profit and Loss)</t>
  </si>
  <si>
    <t>ABC Inc</t>
  </si>
  <si>
    <t>For the month ended June 30, 2026</t>
  </si>
  <si>
    <t>Account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</si>
  <si>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</si>
  <si>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</si>
  <si>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</si>
  <si>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</si>
  <si>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</si>
  <si>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</si>
  <si>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</si>
  <si>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</si>
  <si>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</si>
  <si>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</si>
  <si>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</si>
  <si>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</si>
  <si>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</si>
  <si>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</si>
  <si>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</si>
  <si>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</si>
  <si>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</si>
  <si>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</si>
  <si>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Income</t>
  </si>
  <si>
    <t>As at 30 June 2026</t>
  </si>
  <si>
    <t>Partnership Income</t>
  </si>
  <si>
    <t>Professional Services</t>
  </si>
  <si>
    <t>30 Jun 2026</t>
  </si>
  <si>
    <t>31 May 2026</t>
  </si>
  <si>
    <t>30 Apr 2026</t>
  </si>
  <si>
    <t>31 Mar 2026</t>
  </si>
  <si>
    <t>28 Feb 2026</t>
  </si>
  <si>
    <t>31 Jan 2026</t>
  </si>
  <si>
    <t>Usage Fees</t>
  </si>
  <si>
    <t>31 Dec 2025</t>
  </si>
  <si>
    <t>White-Label</t>
  </si>
  <si>
    <t>30 Nov 2025</t>
  </si>
  <si>
    <t>31 Oct 2025</t>
  </si>
  <si>
    <t>30 Sep 2025</t>
  </si>
  <si>
    <t>31 Aug 2025</t>
  </si>
  <si>
    <t>31 Jul 2025</t>
  </si>
  <si>
    <t>SKU Profiling</t>
  </si>
  <si>
    <t>30 Jun 2025</t>
  </si>
  <si>
    <t>31 May 2025</t>
  </si>
  <si>
    <t>30 Apr 2025</t>
  </si>
  <si>
    <t>31 Mar 2025</t>
  </si>
  <si>
    <t>28 Feb 2025</t>
  </si>
  <si>
    <t>Total Income</t>
  </si>
  <si>
    <t>31 Jan 2025</t>
  </si>
  <si>
    <t>Assets</t>
  </si>
  <si>
    <t>Current Assets</t>
  </si>
  <si>
    <t>Cash and Cash Equivalents</t>
  </si>
  <si>
    <t>Cost of Goods Sold</t>
  </si>
  <si>
    <t>Customer Success - Payroll benefits</t>
  </si>
  <si>
    <t>Customer Success - Workers Comp Insurance</t>
  </si>
  <si>
    <t>Customer Success Payroll</t>
  </si>
  <si>
    <t>Customer Success Payroll Taxes</t>
  </si>
  <si>
    <t>Hosting</t>
  </si>
  <si>
    <t>Referral Fees</t>
  </si>
  <si>
    <t>Sales Commission</t>
  </si>
  <si>
    <t>Total Cost of Goods Sold</t>
  </si>
  <si>
    <t>Gross Profit</t>
  </si>
  <si>
    <t>Total Cash and Cash Equivalents</t>
  </si>
  <si>
    <t>Operating Expenses</t>
  </si>
  <si>
    <t>Accounts Receivable</t>
  </si>
  <si>
    <t>Accounting &amp; Tax</t>
  </si>
  <si>
    <t>Advisory Services</t>
  </si>
  <si>
    <t>Accounts Receivable - Stripe Clearing</t>
  </si>
  <si>
    <t>Bad Debts</t>
  </si>
  <si>
    <t>Accrued Revenue</t>
  </si>
  <si>
    <t>Bank Service Charges</t>
  </si>
  <si>
    <t>Bonus</t>
  </si>
  <si>
    <t>Prepaid Expense</t>
  </si>
  <si>
    <t>Consulting</t>
  </si>
  <si>
    <t>Contribution to Charities</t>
  </si>
  <si>
    <t>Prepaid Referral Fees</t>
  </si>
  <si>
    <t>Depreciation</t>
  </si>
  <si>
    <t>Development - Contractor</t>
  </si>
  <si>
    <t>Prepaid Sales Commission</t>
  </si>
  <si>
    <t>Development Payroll</t>
  </si>
  <si>
    <t>Employee Training expenses</t>
  </si>
  <si>
    <t>Security Deposit</t>
  </si>
  <si>
    <t>Federal &amp; State Taxes</t>
  </si>
  <si>
    <t>General Expenses</t>
  </si>
  <si>
    <t>Short term loan to employees</t>
  </si>
  <si>
    <t>Health Insurance</t>
  </si>
  <si>
    <t>Vendor Overpayment</t>
  </si>
  <si>
    <t>Insurance</t>
  </si>
  <si>
    <t>Client Reimbursable Amount</t>
  </si>
  <si>
    <t>Interest Expense</t>
  </si>
  <si>
    <t>Prepaid Partnerships Commission</t>
  </si>
  <si>
    <t>Interest Income</t>
  </si>
  <si>
    <t>Total Current Assets</t>
  </si>
  <si>
    <t>Legal Expenses</t>
  </si>
  <si>
    <t>S &amp; M Payroll</t>
  </si>
  <si>
    <t>Marketing - Payroll</t>
  </si>
  <si>
    <t>Marketing - Payroll benefits</t>
  </si>
  <si>
    <t>Marketing - Payroll Taxes</t>
  </si>
  <si>
    <t>Fixed Assets</t>
  </si>
  <si>
    <t>Marketing - Workers Comp Insurance</t>
  </si>
  <si>
    <t>Computer Equipment</t>
  </si>
  <si>
    <t>Partnerships - Payroll</t>
  </si>
  <si>
    <t>Less Accumulated Depreciation on Computer Equipment</t>
  </si>
  <si>
    <t>Partnerships - Payroll benefits</t>
  </si>
  <si>
    <t>Less Accumulated Depreciation on Other Equipment</t>
  </si>
  <si>
    <t>Partnerships - Payroll Taxes</t>
  </si>
  <si>
    <t>Other Equipment</t>
  </si>
  <si>
    <t>Sales - Payroll</t>
  </si>
  <si>
    <t>Total Fixed Assets</t>
  </si>
  <si>
    <t>Sales - Payroll benefits</t>
  </si>
  <si>
    <t>Sales - Payroll Taxes</t>
  </si>
  <si>
    <t>Sales - Workers Comp Insurance</t>
  </si>
  <si>
    <t>Long Term Assets</t>
  </si>
  <si>
    <t>Total S &amp; M Payroll</t>
  </si>
  <si>
    <t>Deferred Tax Asset – NOL</t>
  </si>
  <si>
    <t>Total Long Term Assets</t>
  </si>
  <si>
    <t>Marketing</t>
  </si>
  <si>
    <t>Total Assets</t>
  </si>
  <si>
    <t>Marketing/Advertising</t>
  </si>
  <si>
    <t>Marketing/Advertising: Ad Spend</t>
  </si>
  <si>
    <t>Events &amp; Conferences</t>
  </si>
  <si>
    <t>Liabilities and Equity</t>
  </si>
  <si>
    <t>Marketing/Advertising: Content</t>
  </si>
  <si>
    <t>Marketing/Advertising: Membership Dues/Subscriptions</t>
  </si>
  <si>
    <t>Liabilities</t>
  </si>
  <si>
    <t>Current Liabilities</t>
  </si>
  <si>
    <t>Marketing/Advertising: Miscellaneous</t>
  </si>
  <si>
    <t>401K Payable</t>
  </si>
  <si>
    <t>Marketing/Advertising: Website</t>
  </si>
  <si>
    <t>Marketing/Advertising: Partner Marketing</t>
  </si>
  <si>
    <t>Accounts Payable</t>
  </si>
  <si>
    <t>Total Marketing</t>
  </si>
  <si>
    <t>Accrual Expense</t>
  </si>
  <si>
    <t>Accrued Bonus</t>
  </si>
  <si>
    <t>Deferred Revenue</t>
  </si>
  <si>
    <t>Meals &amp; Entertainment</t>
  </si>
  <si>
    <t>FSA Liability</t>
  </si>
  <si>
    <t>HSA Liability</t>
  </si>
  <si>
    <t>Merchant fees</t>
  </si>
  <si>
    <t>Partnerships Commission Payable</t>
  </si>
  <si>
    <t>Office Expenses</t>
  </si>
  <si>
    <t>Operating Payroll</t>
  </si>
  <si>
    <t>Sales Commission Payable</t>
  </si>
  <si>
    <t>Operations - Payroll benefits</t>
  </si>
  <si>
    <t>Accrued Referral Fees</t>
  </si>
  <si>
    <t>Operations - Workers Comp Insurance</t>
  </si>
  <si>
    <t>Operations Payroll Taxes</t>
  </si>
  <si>
    <t>Payroll Service Fee</t>
  </si>
  <si>
    <t>Total Current Liabilities</t>
  </si>
  <si>
    <t>Postage &amp; Delivery</t>
  </si>
  <si>
    <t>Printing &amp; Stationery</t>
  </si>
  <si>
    <t>Product - Payroll benefits</t>
  </si>
  <si>
    <t>Product - Workers Comp Insurance</t>
  </si>
  <si>
    <t>Product Payroll Taxes</t>
  </si>
  <si>
    <t>Long Term Liabilities</t>
  </si>
  <si>
    <t>Professional Fees</t>
  </si>
  <si>
    <t>Interest Payable on Convertible Promissory Note</t>
  </si>
  <si>
    <t>Recruiting Expense</t>
  </si>
  <si>
    <t>Convertible Promissory Note Payable</t>
  </si>
  <si>
    <t>Rent</t>
  </si>
  <si>
    <t>Total Long Term Liabilities</t>
  </si>
  <si>
    <t>Sales &amp; Marketing - Contractor</t>
  </si>
  <si>
    <t>Sales &amp; Marketing - Workers Comp Insurance</t>
  </si>
  <si>
    <t>Sales &amp; Marketing Payroll</t>
  </si>
  <si>
    <t>Sales &amp; Marketing Payroll Taxes</t>
  </si>
  <si>
    <t>Total Liabilities</t>
  </si>
  <si>
    <t>Sales and Marketing - Payroll benefits</t>
  </si>
  <si>
    <t>Severance</t>
  </si>
  <si>
    <t>Software &amp; SaaS</t>
  </si>
  <si>
    <t>Telephone &amp; Internet</t>
  </si>
  <si>
    <t>Travel</t>
  </si>
  <si>
    <t>Equity</t>
  </si>
  <si>
    <t>Common Stock</t>
  </si>
  <si>
    <t>Partnerships Commission</t>
  </si>
  <si>
    <t>Workers Compensation Insurance</t>
  </si>
  <si>
    <t>Additional Paid-in Capital - Common Stock</t>
  </si>
  <si>
    <t>Stock-Based Compensation Expense</t>
  </si>
  <si>
    <t>Sales &amp; Marketing - Travel, Meals &amp; Entertainment</t>
  </si>
  <si>
    <t>Current Year Earnings</t>
  </si>
  <si>
    <t>Income Tax Benefit</t>
  </si>
  <si>
    <t>Equity - Common Stock</t>
  </si>
  <si>
    <t>AI Token Cost</t>
  </si>
  <si>
    <t>Equity - Preferred Stock</t>
  </si>
  <si>
    <t>Total Operating Expenses</t>
  </si>
  <si>
    <t>Equity - Series A</t>
  </si>
  <si>
    <t>Less Series A Financing Costs</t>
  </si>
  <si>
    <t>Additional Paid-in Capital – Stock Options</t>
  </si>
  <si>
    <t>Retained Earnings</t>
  </si>
  <si>
    <t>Total Equity</t>
  </si>
  <si>
    <t>Operating Income</t>
  </si>
  <si>
    <t>Total Liabilities and Equity</t>
  </si>
  <si>
    <t>Net Income</t>
  </si>
  <si>
    <t>Platform Revenue</t>
  </si>
  <si>
    <t>Credit Card 1</t>
  </si>
  <si>
    <t xml:space="preserve">Credit Card 2 </t>
  </si>
  <si>
    <t>Checking Account</t>
  </si>
  <si>
    <t>Savings Account 1</t>
  </si>
  <si>
    <t>Savings Account 2</t>
  </si>
  <si>
    <t>ICS account</t>
  </si>
  <si>
    <t>Checking Account 2</t>
  </si>
  <si>
    <t>Marketing/Advertising: Print &amp; Digital</t>
  </si>
  <si>
    <t>Marketing/Advertising: 3rd Party Content Syndication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</si>
</sst>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8" x14ac:knownFonts="1">
    <font>
      <sz val="9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3" xfId="0" applyFont="1" applyFill="1" applyBorder="1" applyAlignment="1">
      <alignment vertical="center"/>
    </xf>
    <xf numFmtId="164" fontId="7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showGridLines="0" tabSelected="1" topLeftCell="A88" workbookViewId="0">
      <selection activeCell="B102" sqref="B102"/>
    </sheetView>
  </sheetViews>
  <sheetFormatPr defaultColWidth="14.375" defaultRowHeight="15" customHeight="1" x14ac:dyDescent="0.2"/>
  <cols>
    <col min="1" max="1" width="1.375" customWidth="1"/>
    <col min="2" max="2" width="59.25" customWidth="1"/>
    <col min="3" max="3" width="11.125" customWidth="1"/>
    <col min="4" max="4" width="11.375" customWidth="1"/>
    <col min="5" max="5" width="11.125" customWidth="1"/>
    <col min="6" max="6" width="11.25" customWidth="1"/>
    <col min="7" max="8" width="11.125" customWidth="1"/>
    <col min="9" max="9" width="14.25" customWidth="1"/>
    <col min="10" max="12" width="11.125" customWidth="1"/>
    <col min="13" max="20" width="11.375" customWidth="1"/>
    <col min="21" max="25" width="8.75" customWidth="1"/>
  </cols>
  <sheetData>
    <row r="1" spans="1:25" ht="16.5" customHeight="1" x14ac:dyDescent="0.3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</row>
    <row r="2" spans="1:25" ht="14.25" customHeight="1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4"/>
      <c r="W2" s="4"/>
      <c r="X2" s="4"/>
      <c r="Y2" s="4"/>
    </row>
    <row r="3" spans="1:25" ht="14.2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4"/>
      <c r="X3" s="4"/>
      <c r="Y3" s="4"/>
    </row>
    <row r="4" spans="1:25" ht="12.75" customHeight="1" x14ac:dyDescent="0.2"/>
    <row r="5" spans="1:25" ht="12" customHeight="1" x14ac:dyDescent="0.25">
      <c r="A5" s="5"/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  <c r="R5" s="7" t="s">
        <v>20</v>
      </c>
      <c r="S5" s="7" t="s">
        <v>21</v>
      </c>
      <c r="T5" s="7" t="s">
        <v>22</v>
      </c>
      <c r="U5" s="8"/>
      <c r="V5" s="8"/>
      <c r="W5" s="8"/>
      <c r="X5" s="8"/>
      <c r="Y5" s="8"/>
    </row>
    <row r="6" spans="1:25" ht="12.75" customHeight="1" x14ac:dyDescent="0.2"/>
    <row r="7" spans="1:25" ht="12" customHeight="1" x14ac:dyDescent="0.25">
      <c r="A7" s="5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8"/>
      <c r="V7" s="8"/>
      <c r="W7" s="8"/>
      <c r="X7" s="8"/>
      <c r="Y7" s="8"/>
    </row>
    <row r="8" spans="1:25" ht="10.5" customHeight="1" x14ac:dyDescent="0.2">
      <c r="A8" s="9"/>
      <c r="B8" s="10" t="s">
        <v>192</v>
      </c>
      <c r="C8" s="11">
        <v>26666.66</v>
      </c>
      <c r="D8" s="11">
        <v>26666.66</v>
      </c>
      <c r="E8" s="11">
        <v>26666.66</v>
      </c>
      <c r="F8" s="11">
        <v>26666.66</v>
      </c>
      <c r="G8" s="11">
        <v>26666.66</v>
      </c>
      <c r="H8" s="11">
        <v>26666.66</v>
      </c>
      <c r="I8" s="11">
        <v>45000</v>
      </c>
      <c r="J8" s="11">
        <v>45000</v>
      </c>
      <c r="K8" s="11">
        <v>45000</v>
      </c>
      <c r="L8" s="11">
        <v>65000</v>
      </c>
      <c r="M8" s="11">
        <v>43645.59</v>
      </c>
      <c r="N8" s="11">
        <v>38312.5</v>
      </c>
      <c r="O8" s="11">
        <v>36562.5</v>
      </c>
      <c r="P8" s="11">
        <v>49395.83</v>
      </c>
      <c r="Q8" s="11">
        <v>55645.83</v>
      </c>
      <c r="R8" s="11">
        <v>58145.83</v>
      </c>
      <c r="S8" s="11">
        <v>62312.5</v>
      </c>
      <c r="T8" s="11">
        <v>62312.5</v>
      </c>
      <c r="U8" s="9"/>
      <c r="V8" s="9"/>
      <c r="W8" s="9"/>
      <c r="X8" s="9"/>
      <c r="Y8" s="9"/>
    </row>
    <row r="9" spans="1:25" ht="10.5" customHeight="1" x14ac:dyDescent="0.2">
      <c r="A9" s="9"/>
      <c r="B9" s="12" t="s">
        <v>25</v>
      </c>
      <c r="C9" s="13">
        <v>0</v>
      </c>
      <c r="D9" s="13">
        <v>476.73</v>
      </c>
      <c r="E9" s="13">
        <v>0</v>
      </c>
      <c r="F9" s="13">
        <v>-1608.09</v>
      </c>
      <c r="G9" s="13">
        <v>0</v>
      </c>
      <c r="H9" s="13">
        <v>1608.09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1190.8800000000001</v>
      </c>
      <c r="P9" s="13">
        <v>0</v>
      </c>
      <c r="Q9" s="13">
        <v>0</v>
      </c>
      <c r="R9" s="13">
        <v>1056.78</v>
      </c>
      <c r="S9" s="13">
        <v>0</v>
      </c>
      <c r="T9" s="13">
        <v>0</v>
      </c>
      <c r="U9" s="9"/>
      <c r="V9" s="9"/>
      <c r="W9" s="9"/>
      <c r="X9" s="9"/>
      <c r="Y9" s="9"/>
    </row>
    <row r="10" spans="1:25" ht="10.5" customHeight="1" x14ac:dyDescent="0.2">
      <c r="A10" s="9"/>
      <c r="B10" s="12" t="s">
        <v>26</v>
      </c>
      <c r="C10" s="13">
        <v>0</v>
      </c>
      <c r="D10" s="13">
        <v>833.33</v>
      </c>
      <c r="E10" s="13">
        <v>833.33</v>
      </c>
      <c r="F10" s="13">
        <v>833.33</v>
      </c>
      <c r="G10" s="13">
        <v>833.33</v>
      </c>
      <c r="H10" s="13">
        <v>15833.33</v>
      </c>
      <c r="I10" s="13">
        <v>833.33</v>
      </c>
      <c r="J10" s="13">
        <v>833.33</v>
      </c>
      <c r="K10" s="13">
        <v>833.33</v>
      </c>
      <c r="L10" s="13">
        <v>833.33</v>
      </c>
      <c r="M10" s="13">
        <v>833.33</v>
      </c>
      <c r="N10" s="13">
        <v>833.33</v>
      </c>
      <c r="O10" s="13">
        <v>833.33</v>
      </c>
      <c r="P10" s="13">
        <v>0</v>
      </c>
      <c r="Q10" s="13">
        <v>1666.67</v>
      </c>
      <c r="R10" s="13">
        <v>1666.67</v>
      </c>
      <c r="S10" s="13">
        <v>1666.67</v>
      </c>
      <c r="T10" s="13">
        <v>1666.67</v>
      </c>
      <c r="U10" s="9"/>
      <c r="V10" s="9"/>
      <c r="W10" s="9"/>
      <c r="X10" s="9"/>
      <c r="Y10" s="9"/>
    </row>
    <row r="11" spans="1:25" ht="10.5" customHeight="1" x14ac:dyDescent="0.2">
      <c r="A11" s="9"/>
      <c r="B11" s="12" t="s">
        <v>33</v>
      </c>
      <c r="C11" s="13">
        <v>166781.5</v>
      </c>
      <c r="D11" s="13">
        <v>177924.24</v>
      </c>
      <c r="E11" s="13">
        <v>164562.43</v>
      </c>
      <c r="F11" s="13">
        <v>166126.29</v>
      </c>
      <c r="G11" s="13">
        <v>152210.31</v>
      </c>
      <c r="H11" s="13">
        <v>156595.88</v>
      </c>
      <c r="I11" s="13">
        <v>140396.16</v>
      </c>
      <c r="J11" s="13">
        <v>138167.29999999999</v>
      </c>
      <c r="K11" s="13">
        <v>141793.29999999999</v>
      </c>
      <c r="L11" s="13">
        <v>111875.14</v>
      </c>
      <c r="M11" s="13">
        <v>133468.28</v>
      </c>
      <c r="N11" s="13">
        <v>140973.26999999999</v>
      </c>
      <c r="O11" s="13">
        <v>148168.94</v>
      </c>
      <c r="P11" s="13">
        <v>116207.91</v>
      </c>
      <c r="Q11" s="13">
        <v>93023.53</v>
      </c>
      <c r="R11" s="13">
        <v>105881.37</v>
      </c>
      <c r="S11" s="13">
        <v>110872.02</v>
      </c>
      <c r="T11" s="13">
        <v>100808.33</v>
      </c>
      <c r="U11" s="9"/>
      <c r="V11" s="9"/>
      <c r="W11" s="9"/>
      <c r="X11" s="9"/>
      <c r="Y11" s="9"/>
    </row>
    <row r="12" spans="1:25" ht="10.5" customHeight="1" x14ac:dyDescent="0.2">
      <c r="A12" s="9"/>
      <c r="B12" s="12" t="s">
        <v>35</v>
      </c>
      <c r="C12" s="13">
        <v>2450</v>
      </c>
      <c r="D12" s="13">
        <v>2450</v>
      </c>
      <c r="E12" s="13">
        <v>2450</v>
      </c>
      <c r="F12" s="13">
        <v>-550</v>
      </c>
      <c r="G12" s="13">
        <v>3450</v>
      </c>
      <c r="H12" s="13">
        <v>3450</v>
      </c>
      <c r="I12" s="13">
        <v>3800</v>
      </c>
      <c r="J12" s="13">
        <v>3800</v>
      </c>
      <c r="K12" s="13">
        <v>3800</v>
      </c>
      <c r="L12" s="13">
        <v>3800</v>
      </c>
      <c r="M12" s="13">
        <v>3800</v>
      </c>
      <c r="N12" s="13">
        <v>3800</v>
      </c>
      <c r="O12" s="13">
        <v>3800</v>
      </c>
      <c r="P12" s="13">
        <v>3800</v>
      </c>
      <c r="Q12" s="13">
        <v>3800</v>
      </c>
      <c r="R12" s="13">
        <v>3800</v>
      </c>
      <c r="S12" s="13">
        <v>1800</v>
      </c>
      <c r="T12" s="13">
        <v>2800</v>
      </c>
      <c r="U12" s="9"/>
      <c r="V12" s="9"/>
      <c r="W12" s="9"/>
      <c r="X12" s="9"/>
      <c r="Y12" s="9"/>
    </row>
    <row r="13" spans="1:25" ht="10.5" customHeight="1" x14ac:dyDescent="0.2">
      <c r="A13" s="9"/>
      <c r="B13" s="12" t="s">
        <v>41</v>
      </c>
      <c r="C13" s="13">
        <v>0</v>
      </c>
      <c r="D13" s="13">
        <v>0</v>
      </c>
      <c r="E13" s="13">
        <v>10000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9"/>
      <c r="V13" s="9"/>
      <c r="W13" s="9"/>
      <c r="X13" s="9"/>
      <c r="Y13" s="9"/>
    </row>
    <row r="14" spans="1:25" ht="10.5" customHeight="1" x14ac:dyDescent="0.2">
      <c r="A14" s="14" t="s">
        <v>47</v>
      </c>
      <c r="B14" s="9"/>
      <c r="C14" s="15">
        <f t="shared" ref="C14:T14" si="0">SUM(C8:C13)</f>
        <v>195898.16</v>
      </c>
      <c r="D14" s="15">
        <f t="shared" si="0"/>
        <v>208350.96</v>
      </c>
      <c r="E14" s="15">
        <f t="shared" si="0"/>
        <v>204512.41999999998</v>
      </c>
      <c r="F14" s="15">
        <f t="shared" si="0"/>
        <v>191468.19</v>
      </c>
      <c r="G14" s="15">
        <f t="shared" si="0"/>
        <v>183160.3</v>
      </c>
      <c r="H14" s="15">
        <f t="shared" si="0"/>
        <v>204153.96000000002</v>
      </c>
      <c r="I14" s="15">
        <f t="shared" si="0"/>
        <v>190029.49</v>
      </c>
      <c r="J14" s="15">
        <f t="shared" si="0"/>
        <v>187800.63</v>
      </c>
      <c r="K14" s="15">
        <f t="shared" si="0"/>
        <v>191426.63</v>
      </c>
      <c r="L14" s="15">
        <f t="shared" si="0"/>
        <v>181508.47</v>
      </c>
      <c r="M14" s="15">
        <f t="shared" si="0"/>
        <v>181747.20000000001</v>
      </c>
      <c r="N14" s="15">
        <f t="shared" si="0"/>
        <v>183919.09999999998</v>
      </c>
      <c r="O14" s="15">
        <f t="shared" si="0"/>
        <v>190555.65</v>
      </c>
      <c r="P14" s="15">
        <f t="shared" si="0"/>
        <v>169403.74</v>
      </c>
      <c r="Q14" s="15">
        <f t="shared" si="0"/>
        <v>154136.03</v>
      </c>
      <c r="R14" s="15">
        <f t="shared" si="0"/>
        <v>170550.65</v>
      </c>
      <c r="S14" s="15">
        <f t="shared" si="0"/>
        <v>176651.19</v>
      </c>
      <c r="T14" s="15">
        <f t="shared" si="0"/>
        <v>167587.5</v>
      </c>
      <c r="U14" s="9"/>
      <c r="V14" s="9"/>
      <c r="W14" s="9"/>
      <c r="X14" s="9"/>
      <c r="Y14" s="9"/>
    </row>
    <row r="15" spans="1:25" ht="12.75" customHeight="1" x14ac:dyDescent="0.2"/>
    <row r="16" spans="1:25" ht="12" customHeight="1" x14ac:dyDescent="0.25">
      <c r="A16" s="5" t="s">
        <v>52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8"/>
      <c r="V16" s="8"/>
      <c r="W16" s="8"/>
      <c r="X16" s="8"/>
      <c r="Y16" s="8"/>
    </row>
    <row r="17" spans="1:25" ht="10.5" customHeight="1" x14ac:dyDescent="0.2">
      <c r="A17" s="9"/>
      <c r="B17" s="10" t="s">
        <v>53</v>
      </c>
      <c r="C17" s="11">
        <v>831.37</v>
      </c>
      <c r="D17" s="11">
        <v>985.51</v>
      </c>
      <c r="E17" s="11">
        <v>870.56</v>
      </c>
      <c r="F17" s="11">
        <v>776.98</v>
      </c>
      <c r="G17" s="11">
        <v>729.15</v>
      </c>
      <c r="H17" s="11">
        <v>858.27</v>
      </c>
      <c r="I17" s="11">
        <v>708.67</v>
      </c>
      <c r="J17" s="11">
        <v>740.77</v>
      </c>
      <c r="K17" s="11">
        <v>779.32</v>
      </c>
      <c r="L17" s="11">
        <v>885.79</v>
      </c>
      <c r="M17" s="11">
        <v>679.03</v>
      </c>
      <c r="N17" s="11">
        <v>728.34</v>
      </c>
      <c r="O17" s="11">
        <v>863.55</v>
      </c>
      <c r="P17" s="11">
        <v>891.64</v>
      </c>
      <c r="Q17" s="11">
        <v>1304.8399999999999</v>
      </c>
      <c r="R17" s="11">
        <v>469.05</v>
      </c>
      <c r="S17" s="11">
        <v>674.34</v>
      </c>
      <c r="T17" s="11">
        <v>369.53</v>
      </c>
      <c r="U17" s="9"/>
      <c r="V17" s="9"/>
      <c r="W17" s="9"/>
      <c r="X17" s="9"/>
      <c r="Y17" s="9"/>
    </row>
    <row r="18" spans="1:25" ht="10.5" customHeight="1" x14ac:dyDescent="0.2">
      <c r="A18" s="9"/>
      <c r="B18" s="12" t="s">
        <v>54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0.62</v>
      </c>
      <c r="T18" s="13">
        <v>5.68</v>
      </c>
      <c r="U18" s="9"/>
      <c r="V18" s="9"/>
      <c r="W18" s="9"/>
      <c r="X18" s="9"/>
      <c r="Y18" s="9"/>
    </row>
    <row r="19" spans="1:25" ht="10.5" customHeight="1" x14ac:dyDescent="0.2">
      <c r="A19" s="9"/>
      <c r="B19" s="12" t="s">
        <v>55</v>
      </c>
      <c r="C19" s="13">
        <v>27589.97</v>
      </c>
      <c r="D19" s="13">
        <v>30987.83</v>
      </c>
      <c r="E19" s="13">
        <v>28434.22</v>
      </c>
      <c r="F19" s="13">
        <v>24865.38</v>
      </c>
      <c r="G19" s="13">
        <v>24750</v>
      </c>
      <c r="H19" s="13">
        <v>23250</v>
      </c>
      <c r="I19" s="13">
        <v>23250</v>
      </c>
      <c r="J19" s="13">
        <v>23250</v>
      </c>
      <c r="K19" s="13">
        <v>23281.97</v>
      </c>
      <c r="L19" s="13">
        <v>23250</v>
      </c>
      <c r="M19" s="13">
        <v>23250</v>
      </c>
      <c r="N19" s="13">
        <v>23250</v>
      </c>
      <c r="O19" s="13">
        <v>24427.08</v>
      </c>
      <c r="P19" s="13">
        <v>24427.08</v>
      </c>
      <c r="Q19" s="13">
        <v>24427.08</v>
      </c>
      <c r="R19" s="13">
        <v>23927.08</v>
      </c>
      <c r="S19" s="13">
        <v>13392.17</v>
      </c>
      <c r="T19" s="13">
        <v>14427.08</v>
      </c>
      <c r="U19" s="9"/>
      <c r="V19" s="9"/>
      <c r="W19" s="9"/>
      <c r="X19" s="9"/>
      <c r="Y19" s="9"/>
    </row>
    <row r="20" spans="1:25" ht="10.5" customHeight="1" x14ac:dyDescent="0.2">
      <c r="A20" s="9"/>
      <c r="B20" s="12" t="s">
        <v>56</v>
      </c>
      <c r="C20" s="13">
        <v>2185.31</v>
      </c>
      <c r="D20" s="13">
        <v>2870.61</v>
      </c>
      <c r="E20" s="13">
        <v>2632.24</v>
      </c>
      <c r="F20" s="13">
        <v>2213.34</v>
      </c>
      <c r="G20" s="13">
        <v>2199.9</v>
      </c>
      <c r="H20" s="13">
        <v>3253.9</v>
      </c>
      <c r="I20" s="13">
        <v>1758.17</v>
      </c>
      <c r="J20" s="13">
        <v>1726.21</v>
      </c>
      <c r="K20" s="13">
        <v>1947.58</v>
      </c>
      <c r="L20" s="13">
        <v>1976.12</v>
      </c>
      <c r="M20" s="13">
        <v>2039.22</v>
      </c>
      <c r="N20" s="13">
        <v>1975.64</v>
      </c>
      <c r="O20" s="13">
        <v>1794.28</v>
      </c>
      <c r="P20" s="13">
        <v>1794.28</v>
      </c>
      <c r="Q20" s="13">
        <v>2472.59</v>
      </c>
      <c r="R20" s="13">
        <v>2012.99</v>
      </c>
      <c r="S20" s="13">
        <v>1035.75</v>
      </c>
      <c r="T20" s="13">
        <v>1597.58</v>
      </c>
      <c r="U20" s="9"/>
      <c r="V20" s="9"/>
      <c r="W20" s="9"/>
      <c r="X20" s="9"/>
      <c r="Y20" s="9"/>
    </row>
    <row r="21" spans="1:25" ht="10.5" customHeight="1" x14ac:dyDescent="0.2">
      <c r="A21" s="9"/>
      <c r="B21" s="12" t="s">
        <v>57</v>
      </c>
      <c r="C21" s="13">
        <v>19593.939999999999</v>
      </c>
      <c r="D21" s="13">
        <v>17869.169999999998</v>
      </c>
      <c r="E21" s="13">
        <v>17682.32</v>
      </c>
      <c r="F21" s="13">
        <v>19449.490000000002</v>
      </c>
      <c r="G21" s="13">
        <v>20238.59</v>
      </c>
      <c r="H21" s="13">
        <v>21430.400000000001</v>
      </c>
      <c r="I21" s="13">
        <v>22992.37</v>
      </c>
      <c r="J21" s="13">
        <v>21023.39</v>
      </c>
      <c r="K21" s="13">
        <v>22682.97</v>
      </c>
      <c r="L21" s="13">
        <v>20629.400000000001</v>
      </c>
      <c r="M21" s="13">
        <v>19473.810000000001</v>
      </c>
      <c r="N21" s="13">
        <v>15035.08</v>
      </c>
      <c r="O21" s="13">
        <v>14908.7</v>
      </c>
      <c r="P21" s="13">
        <v>14066.93</v>
      </c>
      <c r="Q21" s="13">
        <v>13839.39</v>
      </c>
      <c r="R21" s="13">
        <v>12843.43</v>
      </c>
      <c r="S21" s="13">
        <v>12456.82</v>
      </c>
      <c r="T21" s="13">
        <v>11299.23</v>
      </c>
      <c r="U21" s="9"/>
      <c r="V21" s="9"/>
      <c r="W21" s="9"/>
      <c r="X21" s="9"/>
      <c r="Y21" s="9"/>
    </row>
    <row r="22" spans="1:25" ht="10.5" customHeight="1" x14ac:dyDescent="0.2">
      <c r="A22" s="9"/>
      <c r="B22" s="12" t="s">
        <v>58</v>
      </c>
      <c r="C22" s="13">
        <v>2344.9699999999998</v>
      </c>
      <c r="D22" s="13">
        <v>2830</v>
      </c>
      <c r="E22" s="13">
        <v>2830</v>
      </c>
      <c r="F22" s="13">
        <v>2181.67</v>
      </c>
      <c r="G22" s="13">
        <v>2661.67</v>
      </c>
      <c r="H22" s="13">
        <v>2893.33</v>
      </c>
      <c r="I22" s="13">
        <v>2310</v>
      </c>
      <c r="J22" s="13">
        <v>240</v>
      </c>
      <c r="K22" s="13">
        <v>2310</v>
      </c>
      <c r="L22" s="13">
        <v>2670</v>
      </c>
      <c r="M22" s="13">
        <v>14040</v>
      </c>
      <c r="N22" s="13">
        <v>534.19000000000005</v>
      </c>
      <c r="O22" s="13">
        <v>360</v>
      </c>
      <c r="P22" s="13">
        <v>1440</v>
      </c>
      <c r="Q22" s="13">
        <v>-1800</v>
      </c>
      <c r="R22" s="13">
        <v>1440</v>
      </c>
      <c r="S22" s="13">
        <v>360</v>
      </c>
      <c r="T22" s="13">
        <v>0</v>
      </c>
      <c r="U22" s="9"/>
      <c r="V22" s="9"/>
      <c r="W22" s="9"/>
      <c r="X22" s="9"/>
      <c r="Y22" s="9"/>
    </row>
    <row r="23" spans="1:25" ht="10.5" customHeight="1" x14ac:dyDescent="0.2">
      <c r="A23" s="9"/>
      <c r="B23" s="12" t="s">
        <v>59</v>
      </c>
      <c r="C23" s="13">
        <v>5926.88</v>
      </c>
      <c r="D23" s="13">
        <v>13126.41</v>
      </c>
      <c r="E23" s="13">
        <v>7495.94</v>
      </c>
      <c r="F23" s="13">
        <v>-3629.87</v>
      </c>
      <c r="G23" s="13">
        <v>8655.3700000000008</v>
      </c>
      <c r="H23" s="13">
        <v>9069.2099999999991</v>
      </c>
      <c r="I23" s="13">
        <v>6600.96</v>
      </c>
      <c r="J23" s="13">
        <v>7467.26</v>
      </c>
      <c r="K23" s="13">
        <v>7735.23</v>
      </c>
      <c r="L23" s="13">
        <v>8603.75</v>
      </c>
      <c r="M23" s="13">
        <v>7730.44</v>
      </c>
      <c r="N23" s="13">
        <v>13057.89</v>
      </c>
      <c r="O23" s="13">
        <v>6576.3</v>
      </c>
      <c r="P23" s="13">
        <v>7591.96</v>
      </c>
      <c r="Q23" s="13">
        <v>9306.81</v>
      </c>
      <c r="R23" s="13">
        <v>9306.7900000000009</v>
      </c>
      <c r="S23" s="13">
        <v>9556.59</v>
      </c>
      <c r="T23" s="13">
        <v>9251.44</v>
      </c>
      <c r="U23" s="9"/>
      <c r="V23" s="9"/>
      <c r="W23" s="9"/>
      <c r="X23" s="9"/>
      <c r="Y23" s="9"/>
    </row>
    <row r="24" spans="1:25" ht="10.5" customHeight="1" x14ac:dyDescent="0.2">
      <c r="A24" s="14" t="s">
        <v>60</v>
      </c>
      <c r="B24" s="9"/>
      <c r="C24" s="15">
        <f t="shared" ref="C24:T24" si="1">SUM(C17:C23)</f>
        <v>58472.439999999995</v>
      </c>
      <c r="D24" s="15">
        <f t="shared" si="1"/>
        <v>68669.53</v>
      </c>
      <c r="E24" s="15">
        <f t="shared" si="1"/>
        <v>59945.280000000006</v>
      </c>
      <c r="F24" s="15">
        <f t="shared" si="1"/>
        <v>45856.99</v>
      </c>
      <c r="G24" s="15">
        <f t="shared" si="1"/>
        <v>59234.68</v>
      </c>
      <c r="H24" s="15">
        <f t="shared" si="1"/>
        <v>60755.110000000008</v>
      </c>
      <c r="I24" s="15">
        <f t="shared" si="1"/>
        <v>57620.169999999991</v>
      </c>
      <c r="J24" s="15">
        <f t="shared" si="1"/>
        <v>54447.63</v>
      </c>
      <c r="K24" s="15">
        <f t="shared" si="1"/>
        <v>58737.070000000007</v>
      </c>
      <c r="L24" s="15">
        <f t="shared" si="1"/>
        <v>58015.06</v>
      </c>
      <c r="M24" s="15">
        <f t="shared" si="1"/>
        <v>67212.5</v>
      </c>
      <c r="N24" s="15">
        <f t="shared" si="1"/>
        <v>54581.14</v>
      </c>
      <c r="O24" s="15">
        <f t="shared" si="1"/>
        <v>48929.91</v>
      </c>
      <c r="P24" s="15">
        <f t="shared" si="1"/>
        <v>50211.89</v>
      </c>
      <c r="Q24" s="15">
        <f t="shared" si="1"/>
        <v>49550.71</v>
      </c>
      <c r="R24" s="15">
        <f t="shared" si="1"/>
        <v>49999.340000000004</v>
      </c>
      <c r="S24" s="15">
        <f t="shared" si="1"/>
        <v>37476.29</v>
      </c>
      <c r="T24" s="15">
        <f t="shared" si="1"/>
        <v>36950.54</v>
      </c>
      <c r="U24" s="9"/>
      <c r="V24" s="9"/>
      <c r="W24" s="9"/>
      <c r="X24" s="9"/>
      <c r="Y24" s="9"/>
    </row>
    <row r="25" spans="1:25" ht="12.75" customHeight="1" x14ac:dyDescent="0.2"/>
    <row r="26" spans="1:25" ht="10.5" customHeight="1" x14ac:dyDescent="0.2">
      <c r="A26" s="9"/>
      <c r="B26" s="17" t="s">
        <v>61</v>
      </c>
      <c r="C26" s="18">
        <f t="shared" ref="C26:T26" si="2">(C14 - C24)</f>
        <v>137425.72</v>
      </c>
      <c r="D26" s="18">
        <f t="shared" si="2"/>
        <v>139681.43</v>
      </c>
      <c r="E26" s="18">
        <f t="shared" si="2"/>
        <v>144567.13999999998</v>
      </c>
      <c r="F26" s="18">
        <f t="shared" si="2"/>
        <v>145611.20000000001</v>
      </c>
      <c r="G26" s="18">
        <f t="shared" si="2"/>
        <v>123925.62</v>
      </c>
      <c r="H26" s="18">
        <f t="shared" si="2"/>
        <v>143398.85</v>
      </c>
      <c r="I26" s="18">
        <f t="shared" si="2"/>
        <v>132409.32</v>
      </c>
      <c r="J26" s="18">
        <f t="shared" si="2"/>
        <v>133353</v>
      </c>
      <c r="K26" s="18">
        <f t="shared" si="2"/>
        <v>132689.56</v>
      </c>
      <c r="L26" s="18">
        <f t="shared" si="2"/>
        <v>123493.41</v>
      </c>
      <c r="M26" s="18">
        <f t="shared" si="2"/>
        <v>114534.70000000001</v>
      </c>
      <c r="N26" s="18">
        <f t="shared" si="2"/>
        <v>129337.95999999998</v>
      </c>
      <c r="O26" s="18">
        <f t="shared" si="2"/>
        <v>141625.74</v>
      </c>
      <c r="P26" s="18">
        <f t="shared" si="2"/>
        <v>119191.84999999999</v>
      </c>
      <c r="Q26" s="18">
        <f t="shared" si="2"/>
        <v>104585.32</v>
      </c>
      <c r="R26" s="18">
        <f t="shared" si="2"/>
        <v>120551.31</v>
      </c>
      <c r="S26" s="18">
        <f t="shared" si="2"/>
        <v>139174.9</v>
      </c>
      <c r="T26" s="18">
        <f t="shared" si="2"/>
        <v>130636.95999999999</v>
      </c>
      <c r="U26" s="9"/>
      <c r="V26" s="9"/>
      <c r="W26" s="9"/>
      <c r="X26" s="9"/>
      <c r="Y26" s="9"/>
    </row>
    <row r="27" spans="1:25" ht="12.75" customHeight="1" x14ac:dyDescent="0.2"/>
    <row r="28" spans="1:25" ht="12" customHeight="1" x14ac:dyDescent="0.25">
      <c r="A28" s="5" t="s">
        <v>63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8"/>
      <c r="V28" s="8"/>
      <c r="W28" s="8"/>
      <c r="X28" s="8"/>
      <c r="Y28" s="8"/>
    </row>
    <row r="29" spans="1:25" ht="10.5" customHeight="1" x14ac:dyDescent="0.2">
      <c r="A29" s="9"/>
      <c r="B29" s="10" t="s">
        <v>65</v>
      </c>
      <c r="C29" s="11">
        <v>13500</v>
      </c>
      <c r="D29" s="11">
        <v>13500</v>
      </c>
      <c r="E29" s="11">
        <v>13500</v>
      </c>
      <c r="F29" s="11">
        <v>13500</v>
      </c>
      <c r="G29" s="11">
        <v>13500</v>
      </c>
      <c r="H29" s="11">
        <v>12500</v>
      </c>
      <c r="I29" s="11">
        <v>12500</v>
      </c>
      <c r="J29" s="11">
        <v>12500</v>
      </c>
      <c r="K29" s="11">
        <v>18500</v>
      </c>
      <c r="L29" s="11">
        <v>12500</v>
      </c>
      <c r="M29" s="11">
        <v>12500</v>
      </c>
      <c r="N29" s="11">
        <v>12500</v>
      </c>
      <c r="O29" s="11">
        <v>12500</v>
      </c>
      <c r="P29" s="11">
        <v>12500</v>
      </c>
      <c r="Q29" s="11">
        <v>12500</v>
      </c>
      <c r="R29" s="11">
        <v>12509</v>
      </c>
      <c r="S29" s="11">
        <v>12539.02</v>
      </c>
      <c r="T29" s="11">
        <v>12500</v>
      </c>
      <c r="U29" s="9"/>
      <c r="V29" s="9"/>
      <c r="W29" s="9"/>
      <c r="X29" s="9"/>
      <c r="Y29" s="9"/>
    </row>
    <row r="30" spans="1:25" ht="10.5" customHeight="1" x14ac:dyDescent="0.2">
      <c r="A30" s="9"/>
      <c r="B30" s="12" t="s">
        <v>66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2500</v>
      </c>
      <c r="I30" s="13">
        <v>5000</v>
      </c>
      <c r="J30" s="13">
        <v>5000</v>
      </c>
      <c r="K30" s="13">
        <v>5000</v>
      </c>
      <c r="L30" s="13">
        <v>5000</v>
      </c>
      <c r="M30" s="13">
        <v>9500</v>
      </c>
      <c r="N30" s="13">
        <v>6937.5</v>
      </c>
      <c r="O30" s="13">
        <v>5437.5</v>
      </c>
      <c r="P30" s="13">
        <v>7437.5</v>
      </c>
      <c r="Q30" s="13">
        <v>7437.5</v>
      </c>
      <c r="R30" s="13">
        <v>7437.5</v>
      </c>
      <c r="S30" s="13">
        <v>7437.5</v>
      </c>
      <c r="T30" s="13">
        <v>9937.5</v>
      </c>
      <c r="U30" s="9"/>
      <c r="V30" s="9"/>
      <c r="W30" s="9"/>
      <c r="X30" s="9"/>
      <c r="Y30" s="9"/>
    </row>
    <row r="31" spans="1:25" ht="10.5" customHeight="1" x14ac:dyDescent="0.2">
      <c r="A31" s="9"/>
      <c r="B31" s="12" t="s">
        <v>68</v>
      </c>
      <c r="C31" s="13">
        <v>-1806.24</v>
      </c>
      <c r="D31" s="13">
        <v>12935.29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21249</v>
      </c>
      <c r="R31" s="13">
        <v>0</v>
      </c>
      <c r="S31" s="13">
        <v>0</v>
      </c>
      <c r="T31" s="13">
        <v>0</v>
      </c>
      <c r="U31" s="9"/>
      <c r="V31" s="9"/>
      <c r="W31" s="9"/>
      <c r="X31" s="9"/>
      <c r="Y31" s="9"/>
    </row>
    <row r="32" spans="1:25" ht="10.5" customHeight="1" x14ac:dyDescent="0.2">
      <c r="A32" s="9"/>
      <c r="B32" s="12" t="s">
        <v>70</v>
      </c>
      <c r="C32" s="13">
        <v>43.99</v>
      </c>
      <c r="D32" s="13">
        <v>424.17</v>
      </c>
      <c r="E32" s="13">
        <v>73.28</v>
      </c>
      <c r="F32" s="13">
        <v>266.24</v>
      </c>
      <c r="G32" s="13">
        <v>66.8</v>
      </c>
      <c r="H32" s="13">
        <v>137.1</v>
      </c>
      <c r="I32" s="13">
        <v>47.26</v>
      </c>
      <c r="J32" s="13">
        <v>42.9</v>
      </c>
      <c r="K32" s="13">
        <v>59.28</v>
      </c>
      <c r="L32" s="13">
        <v>41.7</v>
      </c>
      <c r="M32" s="13">
        <v>82.6</v>
      </c>
      <c r="N32" s="13">
        <v>0</v>
      </c>
      <c r="O32" s="13">
        <v>1</v>
      </c>
      <c r="P32" s="13">
        <v>374.63</v>
      </c>
      <c r="Q32" s="13">
        <v>-0.01</v>
      </c>
      <c r="R32" s="13">
        <v>376</v>
      </c>
      <c r="S32" s="13">
        <v>0</v>
      </c>
      <c r="T32" s="13">
        <v>95</v>
      </c>
      <c r="U32" s="9"/>
      <c r="V32" s="9"/>
      <c r="W32" s="9"/>
      <c r="X32" s="9"/>
      <c r="Y32" s="9"/>
    </row>
    <row r="33" spans="1:25" ht="10.5" customHeight="1" x14ac:dyDescent="0.2">
      <c r="A33" s="9"/>
      <c r="B33" s="12" t="s">
        <v>71</v>
      </c>
      <c r="C33" s="13">
        <v>10889</v>
      </c>
      <c r="D33" s="13">
        <v>11189</v>
      </c>
      <c r="E33" s="13">
        <v>10889</v>
      </c>
      <c r="F33" s="13">
        <v>11489</v>
      </c>
      <c r="G33" s="13">
        <v>10680</v>
      </c>
      <c r="H33" s="13">
        <v>12206</v>
      </c>
      <c r="I33" s="13">
        <v>80342.53</v>
      </c>
      <c r="J33" s="13">
        <v>2512.5</v>
      </c>
      <c r="K33" s="13">
        <v>637.5</v>
      </c>
      <c r="L33" s="13">
        <v>2720.83</v>
      </c>
      <c r="M33" s="13">
        <v>2720.83</v>
      </c>
      <c r="N33" s="13">
        <v>2720.83</v>
      </c>
      <c r="O33" s="13">
        <v>2720.83</v>
      </c>
      <c r="P33" s="13">
        <v>2720.83</v>
      </c>
      <c r="Q33" s="13">
        <v>2720.83</v>
      </c>
      <c r="R33" s="13">
        <v>2720.83</v>
      </c>
      <c r="S33" s="13">
        <v>2720.83</v>
      </c>
      <c r="T33" s="13">
        <v>23720.83</v>
      </c>
      <c r="U33" s="9"/>
      <c r="V33" s="9"/>
      <c r="W33" s="9"/>
      <c r="X33" s="9"/>
      <c r="Y33" s="9"/>
    </row>
    <row r="34" spans="1:25" ht="10.5" customHeight="1" x14ac:dyDescent="0.2">
      <c r="A34" s="9"/>
      <c r="B34" s="12" t="s">
        <v>73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6200</v>
      </c>
      <c r="M34" s="13">
        <v>0</v>
      </c>
      <c r="N34" s="13">
        <v>0</v>
      </c>
      <c r="O34" s="13">
        <v>525</v>
      </c>
      <c r="P34" s="13">
        <v>0</v>
      </c>
      <c r="Q34" s="13">
        <v>525</v>
      </c>
      <c r="R34" s="13">
        <v>300</v>
      </c>
      <c r="S34" s="13">
        <v>0</v>
      </c>
      <c r="T34" s="13">
        <v>900</v>
      </c>
      <c r="U34" s="9"/>
      <c r="V34" s="9"/>
      <c r="W34" s="9"/>
      <c r="X34" s="9"/>
      <c r="Y34" s="9"/>
    </row>
    <row r="35" spans="1:25" ht="10.5" customHeight="1" x14ac:dyDescent="0.2">
      <c r="A35" s="9"/>
      <c r="B35" s="12" t="s">
        <v>74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4810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4625</v>
      </c>
      <c r="U35" s="9"/>
      <c r="V35" s="9"/>
      <c r="W35" s="9"/>
      <c r="X35" s="9"/>
      <c r="Y35" s="9"/>
    </row>
    <row r="36" spans="1:25" ht="10.5" customHeight="1" x14ac:dyDescent="0.2">
      <c r="A36" s="9"/>
      <c r="B36" s="12" t="s">
        <v>76</v>
      </c>
      <c r="C36" s="13">
        <v>441.05</v>
      </c>
      <c r="D36" s="13">
        <v>441.04</v>
      </c>
      <c r="E36" s="13">
        <v>441.04</v>
      </c>
      <c r="F36" s="13">
        <v>441.04</v>
      </c>
      <c r="G36" s="13">
        <v>441.06</v>
      </c>
      <c r="H36" s="13">
        <v>441.03</v>
      </c>
      <c r="I36" s="13">
        <v>1510.09</v>
      </c>
      <c r="J36" s="13">
        <v>1510.11</v>
      </c>
      <c r="K36" s="13">
        <v>1510.08</v>
      </c>
      <c r="L36" s="13">
        <v>1510.08</v>
      </c>
      <c r="M36" s="13">
        <v>1510.08</v>
      </c>
      <c r="N36" s="13">
        <v>1510.11</v>
      </c>
      <c r="O36" s="13">
        <v>1510.1</v>
      </c>
      <c r="P36" s="13">
        <v>1510.06</v>
      </c>
      <c r="Q36" s="13">
        <v>1510.1</v>
      </c>
      <c r="R36" s="13">
        <v>1510.1</v>
      </c>
      <c r="S36" s="13">
        <v>1466.55</v>
      </c>
      <c r="T36" s="13">
        <v>1424.17</v>
      </c>
      <c r="U36" s="9"/>
      <c r="V36" s="9"/>
      <c r="W36" s="9"/>
      <c r="X36" s="9"/>
      <c r="Y36" s="9"/>
    </row>
    <row r="37" spans="1:25" ht="10.5" customHeight="1" x14ac:dyDescent="0.2">
      <c r="A37" s="9"/>
      <c r="B37" s="12" t="s">
        <v>77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166.62</v>
      </c>
      <c r="U37" s="9"/>
      <c r="V37" s="9"/>
      <c r="W37" s="9"/>
      <c r="X37" s="9"/>
      <c r="Y37" s="9"/>
    </row>
    <row r="38" spans="1:25" ht="10.5" customHeight="1" x14ac:dyDescent="0.2">
      <c r="A38" s="9"/>
      <c r="B38" s="12" t="s">
        <v>79</v>
      </c>
      <c r="C38" s="13">
        <v>125754.16</v>
      </c>
      <c r="D38" s="13">
        <v>125754.16</v>
      </c>
      <c r="E38" s="13">
        <v>121047.96</v>
      </c>
      <c r="F38" s="13">
        <v>121047.98</v>
      </c>
      <c r="G38" s="13">
        <v>121047.96</v>
      </c>
      <c r="H38" s="13">
        <v>121047.96</v>
      </c>
      <c r="I38" s="13">
        <v>121047.96</v>
      </c>
      <c r="J38" s="13">
        <v>121047.96</v>
      </c>
      <c r="K38" s="13">
        <v>121400.99</v>
      </c>
      <c r="L38" s="13">
        <v>121047.96</v>
      </c>
      <c r="M38" s="13">
        <v>121047.96</v>
      </c>
      <c r="N38" s="13">
        <v>121047.96</v>
      </c>
      <c r="O38" s="13">
        <v>115156.29</v>
      </c>
      <c r="P38" s="13">
        <v>122389.62</v>
      </c>
      <c r="Q38" s="13">
        <v>115724.85</v>
      </c>
      <c r="R38" s="13">
        <v>106097.96</v>
      </c>
      <c r="S38" s="13">
        <v>106097.96</v>
      </c>
      <c r="T38" s="13">
        <v>106097.96</v>
      </c>
      <c r="U38" s="9"/>
      <c r="V38" s="9"/>
      <c r="W38" s="9"/>
      <c r="X38" s="9"/>
      <c r="Y38" s="9"/>
    </row>
    <row r="39" spans="1:25" ht="10.5" customHeight="1" x14ac:dyDescent="0.2">
      <c r="A39" s="9"/>
      <c r="B39" s="12" t="s">
        <v>80</v>
      </c>
      <c r="C39" s="13">
        <v>432.25</v>
      </c>
      <c r="D39" s="13">
        <v>432.25</v>
      </c>
      <c r="E39" s="13">
        <v>432.25</v>
      </c>
      <c r="F39" s="13">
        <v>432.25</v>
      </c>
      <c r="G39" s="13">
        <v>432.25</v>
      </c>
      <c r="H39" s="13">
        <v>432.25</v>
      </c>
      <c r="I39" s="13">
        <v>432.25</v>
      </c>
      <c r="J39" s="13">
        <v>432.25</v>
      </c>
      <c r="K39" s="13">
        <v>432.25</v>
      </c>
      <c r="L39" s="13">
        <v>432.25</v>
      </c>
      <c r="M39" s="13">
        <v>490.18</v>
      </c>
      <c r="N39" s="13">
        <v>466.04</v>
      </c>
      <c r="O39" s="13">
        <v>432.25</v>
      </c>
      <c r="P39" s="13">
        <v>432.25</v>
      </c>
      <c r="Q39" s="13">
        <v>590.22</v>
      </c>
      <c r="R39" s="13">
        <v>412.82</v>
      </c>
      <c r="S39" s="13">
        <v>365.75</v>
      </c>
      <c r="T39" s="13">
        <v>365.75</v>
      </c>
      <c r="U39" s="9"/>
      <c r="V39" s="9"/>
      <c r="W39" s="9"/>
      <c r="X39" s="9"/>
      <c r="Y39" s="9"/>
    </row>
    <row r="40" spans="1:25" ht="10.5" customHeight="1" x14ac:dyDescent="0.2">
      <c r="A40" s="9"/>
      <c r="B40" s="12" t="s">
        <v>82</v>
      </c>
      <c r="C40" s="13">
        <v>0</v>
      </c>
      <c r="D40" s="13">
        <v>1561.67</v>
      </c>
      <c r="E40" s="13">
        <v>3269</v>
      </c>
      <c r="F40" s="13">
        <v>-566.33000000000004</v>
      </c>
      <c r="G40" s="13">
        <v>1726.71</v>
      </c>
      <c r="H40" s="13">
        <v>0</v>
      </c>
      <c r="I40" s="13">
        <v>0</v>
      </c>
      <c r="J40" s="13">
        <v>0</v>
      </c>
      <c r="K40" s="13">
        <v>96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3810</v>
      </c>
      <c r="R40" s="13">
        <v>3024.99</v>
      </c>
      <c r="S40" s="13">
        <v>0</v>
      </c>
      <c r="T40" s="13">
        <v>637.29</v>
      </c>
      <c r="U40" s="9"/>
      <c r="V40" s="9"/>
      <c r="W40" s="9"/>
      <c r="X40" s="9"/>
      <c r="Y40" s="9"/>
    </row>
    <row r="41" spans="1:25" ht="10.5" customHeight="1" x14ac:dyDescent="0.2">
      <c r="A41" s="9"/>
      <c r="B41" s="12" t="s">
        <v>83</v>
      </c>
      <c r="C41" s="13">
        <v>148.75</v>
      </c>
      <c r="D41" s="13">
        <v>324.75</v>
      </c>
      <c r="E41" s="13">
        <v>148.75</v>
      </c>
      <c r="F41" s="13">
        <v>256.73</v>
      </c>
      <c r="G41" s="13">
        <v>125</v>
      </c>
      <c r="H41" s="13">
        <v>12102.6</v>
      </c>
      <c r="I41" s="13">
        <v>1552.95</v>
      </c>
      <c r="J41" s="13">
        <v>125</v>
      </c>
      <c r="K41" s="13">
        <v>225.13</v>
      </c>
      <c r="L41" s="13">
        <v>252.92</v>
      </c>
      <c r="M41" s="13">
        <v>715.46</v>
      </c>
      <c r="N41" s="13">
        <v>179.9</v>
      </c>
      <c r="O41" s="13">
        <v>56.7</v>
      </c>
      <c r="P41" s="13">
        <v>0</v>
      </c>
      <c r="Q41" s="13">
        <v>0</v>
      </c>
      <c r="R41" s="13">
        <v>65.5</v>
      </c>
      <c r="S41" s="13">
        <v>1156.25</v>
      </c>
      <c r="T41" s="13">
        <v>2912.54</v>
      </c>
      <c r="U41" s="9"/>
      <c r="V41" s="9"/>
      <c r="W41" s="9"/>
      <c r="X41" s="9"/>
      <c r="Y41" s="9"/>
    </row>
    <row r="42" spans="1:25" ht="10.5" customHeight="1" x14ac:dyDescent="0.2">
      <c r="A42" s="9"/>
      <c r="B42" s="12" t="s">
        <v>85</v>
      </c>
      <c r="C42" s="13">
        <v>15843.02</v>
      </c>
      <c r="D42" s="13">
        <v>15164.37</v>
      </c>
      <c r="E42" s="13">
        <v>13921.1</v>
      </c>
      <c r="F42" s="13">
        <v>13921.1</v>
      </c>
      <c r="G42" s="13">
        <v>12868.49</v>
      </c>
      <c r="H42" s="13">
        <v>14973.71</v>
      </c>
      <c r="I42" s="13">
        <v>20672.650000000001</v>
      </c>
      <c r="J42" s="13">
        <v>23607.89</v>
      </c>
      <c r="K42" s="13">
        <v>22735.02</v>
      </c>
      <c r="L42" s="13">
        <v>26543.14</v>
      </c>
      <c r="M42" s="13">
        <v>8170.63</v>
      </c>
      <c r="N42" s="13">
        <v>23261.15</v>
      </c>
      <c r="O42" s="13">
        <v>22908.2</v>
      </c>
      <c r="P42" s="13">
        <v>27651.62</v>
      </c>
      <c r="Q42" s="13">
        <v>13572.86</v>
      </c>
      <c r="R42" s="13">
        <v>16084.27</v>
      </c>
      <c r="S42" s="13">
        <v>18241.68</v>
      </c>
      <c r="T42" s="13">
        <v>19114.41</v>
      </c>
      <c r="U42" s="9"/>
      <c r="V42" s="9"/>
      <c r="W42" s="9"/>
      <c r="X42" s="9"/>
      <c r="Y42" s="9"/>
    </row>
    <row r="43" spans="1:25" ht="10.5" customHeight="1" x14ac:dyDescent="0.2">
      <c r="A43" s="9"/>
      <c r="B43" s="12" t="s">
        <v>87</v>
      </c>
      <c r="C43" s="13">
        <v>6001.08</v>
      </c>
      <c r="D43" s="13">
        <v>4228.6099999999997</v>
      </c>
      <c r="E43" s="13">
        <v>1506.88</v>
      </c>
      <c r="F43" s="13">
        <v>531.54999999999995</v>
      </c>
      <c r="G43" s="13">
        <v>3221.88</v>
      </c>
      <c r="H43" s="13">
        <v>3221.88</v>
      </c>
      <c r="I43" s="13">
        <v>4170.68</v>
      </c>
      <c r="J43" s="13">
        <v>3221.87</v>
      </c>
      <c r="K43" s="13">
        <v>3221.87</v>
      </c>
      <c r="L43" s="13">
        <v>3221.87</v>
      </c>
      <c r="M43" s="13">
        <v>3221.87</v>
      </c>
      <c r="N43" s="13">
        <v>3566.87</v>
      </c>
      <c r="O43" s="13">
        <v>3255.13</v>
      </c>
      <c r="P43" s="13">
        <v>3215.07</v>
      </c>
      <c r="Q43" s="13">
        <v>3215.07</v>
      </c>
      <c r="R43" s="13">
        <v>5679.07</v>
      </c>
      <c r="S43" s="13">
        <v>3399.3</v>
      </c>
      <c r="T43" s="13">
        <v>6536.38</v>
      </c>
      <c r="U43" s="9"/>
      <c r="V43" s="9"/>
      <c r="W43" s="9"/>
      <c r="X43" s="9"/>
      <c r="Y43" s="9"/>
    </row>
    <row r="44" spans="1:25" ht="10.5" customHeight="1" x14ac:dyDescent="0.2">
      <c r="A44" s="9"/>
      <c r="B44" s="12" t="s">
        <v>89</v>
      </c>
      <c r="C44" s="13">
        <v>1193.75</v>
      </c>
      <c r="D44" s="13">
        <v>517.45000000000005</v>
      </c>
      <c r="E44" s="13">
        <v>350.25</v>
      </c>
      <c r="F44" s="13">
        <v>0</v>
      </c>
      <c r="G44" s="13">
        <v>505.16</v>
      </c>
      <c r="H44" s="13">
        <v>888.88</v>
      </c>
      <c r="I44" s="13">
        <v>821.27</v>
      </c>
      <c r="J44" s="13">
        <v>798.94</v>
      </c>
      <c r="K44" s="13">
        <v>815</v>
      </c>
      <c r="L44" s="13">
        <v>777.97</v>
      </c>
      <c r="M44" s="13">
        <v>792.74</v>
      </c>
      <c r="N44" s="13">
        <v>758.86</v>
      </c>
      <c r="O44" s="13">
        <v>684.2</v>
      </c>
      <c r="P44" s="13">
        <v>696.79</v>
      </c>
      <c r="Q44" s="13">
        <v>601.75</v>
      </c>
      <c r="R44" s="13">
        <v>492.07</v>
      </c>
      <c r="S44" s="13">
        <v>392.05</v>
      </c>
      <c r="T44" s="13">
        <v>405.6</v>
      </c>
      <c r="U44" s="9"/>
      <c r="V44" s="9"/>
      <c r="W44" s="9"/>
      <c r="X44" s="9"/>
      <c r="Y44" s="9"/>
    </row>
    <row r="45" spans="1:25" ht="10.5" customHeight="1" x14ac:dyDescent="0.2">
      <c r="A45" s="9"/>
      <c r="B45" s="12" t="s">
        <v>91</v>
      </c>
      <c r="C45" s="13">
        <v>-1329.64</v>
      </c>
      <c r="D45" s="13">
        <v>-1553.29</v>
      </c>
      <c r="E45" s="13">
        <v>-2086.9899999999998</v>
      </c>
      <c r="F45" s="13">
        <v>-2463.5100000000002</v>
      </c>
      <c r="G45" s="13">
        <v>-3434.28</v>
      </c>
      <c r="H45" s="13">
        <v>-5449.29</v>
      </c>
      <c r="I45" s="13">
        <v>-6844.64</v>
      </c>
      <c r="J45" s="13">
        <v>-8029.49</v>
      </c>
      <c r="K45" s="13">
        <v>-8441.82</v>
      </c>
      <c r="L45" s="13">
        <v>-9871.58</v>
      </c>
      <c r="M45" s="13">
        <v>-11165.03</v>
      </c>
      <c r="N45" s="13">
        <v>-12378.82</v>
      </c>
      <c r="O45" s="13">
        <v>-13395.48</v>
      </c>
      <c r="P45" s="13">
        <v>-15233.73</v>
      </c>
      <c r="Q45" s="13">
        <v>-14802.01</v>
      </c>
      <c r="R45" s="13">
        <v>-15666.56</v>
      </c>
      <c r="S45" s="13">
        <v>-14111.56</v>
      </c>
      <c r="T45" s="13">
        <v>-15576.02</v>
      </c>
      <c r="U45" s="9"/>
      <c r="V45" s="9"/>
      <c r="W45" s="9"/>
      <c r="X45" s="9"/>
      <c r="Y45" s="9"/>
    </row>
    <row r="46" spans="1:25" ht="10.5" customHeight="1" x14ac:dyDescent="0.2">
      <c r="A46" s="9"/>
      <c r="B46" s="12" t="s">
        <v>93</v>
      </c>
      <c r="C46" s="13">
        <v>500</v>
      </c>
      <c r="D46" s="13">
        <v>2212.5</v>
      </c>
      <c r="E46" s="13">
        <v>0</v>
      </c>
      <c r="F46" s="13">
        <v>5011.67</v>
      </c>
      <c r="G46" s="13">
        <v>1511.67</v>
      </c>
      <c r="H46" s="13">
        <v>0</v>
      </c>
      <c r="I46" s="13">
        <v>3284</v>
      </c>
      <c r="J46" s="13">
        <v>1328.06</v>
      </c>
      <c r="K46" s="13">
        <v>1350</v>
      </c>
      <c r="L46" s="13">
        <v>2025</v>
      </c>
      <c r="M46" s="13">
        <v>3759</v>
      </c>
      <c r="N46" s="13">
        <v>6182</v>
      </c>
      <c r="O46" s="13">
        <v>20071.2</v>
      </c>
      <c r="P46" s="13">
        <v>15883.25</v>
      </c>
      <c r="Q46" s="13">
        <v>4343.34</v>
      </c>
      <c r="R46" s="13">
        <v>8730</v>
      </c>
      <c r="S46" s="13">
        <v>2546</v>
      </c>
      <c r="T46" s="13">
        <v>2808.62</v>
      </c>
      <c r="U46" s="9"/>
      <c r="V46" s="9"/>
      <c r="W46" s="9"/>
      <c r="X46" s="9"/>
      <c r="Y46" s="9"/>
    </row>
    <row r="47" spans="1:25" ht="10.5" customHeight="1" x14ac:dyDescent="0.2">
      <c r="A47" s="16"/>
      <c r="B47" s="16" t="s">
        <v>94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9"/>
      <c r="V47" s="9"/>
      <c r="W47" s="9"/>
      <c r="X47" s="9"/>
      <c r="Y47" s="9"/>
    </row>
    <row r="48" spans="1:25" ht="10.5" customHeight="1" x14ac:dyDescent="0.2">
      <c r="A48" s="9"/>
      <c r="B48" s="12" t="s">
        <v>95</v>
      </c>
      <c r="C48" s="13">
        <v>27612.5</v>
      </c>
      <c r="D48" s="13">
        <v>27612.5</v>
      </c>
      <c r="E48" s="13">
        <v>26666.66</v>
      </c>
      <c r="F48" s="13">
        <v>26666.75</v>
      </c>
      <c r="G48" s="13">
        <v>26666.66</v>
      </c>
      <c r="H48" s="13">
        <v>26666.66</v>
      </c>
      <c r="I48" s="13">
        <v>26666.66</v>
      </c>
      <c r="J48" s="13">
        <v>26666.66</v>
      </c>
      <c r="K48" s="13">
        <v>26703.68</v>
      </c>
      <c r="L48" s="13">
        <v>26666.66</v>
      </c>
      <c r="M48" s="13">
        <v>26666.66</v>
      </c>
      <c r="N48" s="13">
        <v>26666.66</v>
      </c>
      <c r="O48" s="13">
        <v>26666.66</v>
      </c>
      <c r="P48" s="13">
        <v>26666.66</v>
      </c>
      <c r="Q48" s="13">
        <v>26666.66</v>
      </c>
      <c r="R48" s="13">
        <v>26666.66</v>
      </c>
      <c r="S48" s="13">
        <v>26666.66</v>
      </c>
      <c r="T48" s="13">
        <v>25928.03</v>
      </c>
      <c r="U48" s="9"/>
      <c r="V48" s="9"/>
      <c r="W48" s="9"/>
      <c r="X48" s="9"/>
      <c r="Y48" s="9"/>
    </row>
    <row r="49" spans="1:25" ht="10.5" customHeight="1" x14ac:dyDescent="0.2">
      <c r="A49" s="9"/>
      <c r="B49" s="12" t="s">
        <v>96</v>
      </c>
      <c r="C49" s="13">
        <v>591.41999999999996</v>
      </c>
      <c r="D49" s="13">
        <v>561.69000000000005</v>
      </c>
      <c r="E49" s="13">
        <v>562.99</v>
      </c>
      <c r="F49" s="13">
        <v>678.48</v>
      </c>
      <c r="G49" s="13">
        <v>444</v>
      </c>
      <c r="H49" s="13">
        <v>480.56</v>
      </c>
      <c r="I49" s="13">
        <v>686.04</v>
      </c>
      <c r="J49" s="13">
        <v>748.08</v>
      </c>
      <c r="K49" s="13">
        <v>883.97</v>
      </c>
      <c r="L49" s="13">
        <v>883.97</v>
      </c>
      <c r="M49" s="13">
        <v>847.03</v>
      </c>
      <c r="N49" s="13">
        <v>883.97</v>
      </c>
      <c r="O49" s="13">
        <v>883.97</v>
      </c>
      <c r="P49" s="13">
        <v>883.97</v>
      </c>
      <c r="Q49" s="13">
        <v>1283.97</v>
      </c>
      <c r="R49" s="13">
        <v>483.97</v>
      </c>
      <c r="S49" s="13">
        <v>991.24</v>
      </c>
      <c r="T49" s="13">
        <v>769.99</v>
      </c>
      <c r="U49" s="9"/>
      <c r="V49" s="9"/>
      <c r="W49" s="9"/>
      <c r="X49" s="9"/>
      <c r="Y49" s="9"/>
    </row>
    <row r="50" spans="1:25" ht="10.5" customHeight="1" x14ac:dyDescent="0.2">
      <c r="A50" s="9"/>
      <c r="B50" s="12" t="s">
        <v>97</v>
      </c>
      <c r="C50" s="13">
        <v>2187.36</v>
      </c>
      <c r="D50" s="13">
        <v>2187.36</v>
      </c>
      <c r="E50" s="13">
        <v>2111.44</v>
      </c>
      <c r="F50" s="13">
        <v>2120.2800000000002</v>
      </c>
      <c r="G50" s="13">
        <v>2606.89</v>
      </c>
      <c r="H50" s="13">
        <v>3081.85</v>
      </c>
      <c r="I50" s="13">
        <v>2134</v>
      </c>
      <c r="J50" s="13">
        <v>2134.37</v>
      </c>
      <c r="K50" s="13">
        <v>2431.0500000000002</v>
      </c>
      <c r="L50" s="13">
        <v>2134.7399999999998</v>
      </c>
      <c r="M50" s="13">
        <v>2134.7399999999998</v>
      </c>
      <c r="N50" s="13">
        <v>2134.7399999999998</v>
      </c>
      <c r="O50" s="13">
        <v>2134.7399999999998</v>
      </c>
      <c r="P50" s="13">
        <v>2134.7399999999998</v>
      </c>
      <c r="Q50" s="13">
        <v>2026.15</v>
      </c>
      <c r="R50" s="13">
        <v>2100.9699999999998</v>
      </c>
      <c r="S50" s="13">
        <v>2575.1999999999998</v>
      </c>
      <c r="T50" s="13">
        <v>3008.55</v>
      </c>
      <c r="U50" s="9"/>
      <c r="V50" s="9"/>
      <c r="W50" s="9"/>
      <c r="X50" s="9"/>
      <c r="Y50" s="9"/>
    </row>
    <row r="51" spans="1:25" ht="10.5" customHeight="1" x14ac:dyDescent="0.2">
      <c r="A51" s="9"/>
      <c r="B51" s="12" t="s">
        <v>99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3.83</v>
      </c>
      <c r="T51" s="13">
        <v>4.5599999999999996</v>
      </c>
      <c r="U51" s="9"/>
      <c r="V51" s="9"/>
      <c r="W51" s="9"/>
      <c r="X51" s="9"/>
      <c r="Y51" s="9"/>
    </row>
    <row r="52" spans="1:25" ht="10.5" customHeight="1" x14ac:dyDescent="0.2">
      <c r="A52" s="9"/>
      <c r="B52" s="12" t="s">
        <v>101</v>
      </c>
      <c r="C52" s="13">
        <v>10833.34</v>
      </c>
      <c r="D52" s="13">
        <v>10833.34</v>
      </c>
      <c r="E52" s="13">
        <v>10833.34</v>
      </c>
      <c r="F52" s="13">
        <v>10833.34</v>
      </c>
      <c r="G52" s="13">
        <v>10833.34</v>
      </c>
      <c r="H52" s="13">
        <v>10833.34</v>
      </c>
      <c r="I52" s="13">
        <v>19166.66</v>
      </c>
      <c r="J52" s="13">
        <v>19166.66</v>
      </c>
      <c r="K52" s="13">
        <v>19166.66</v>
      </c>
      <c r="L52" s="13">
        <v>19166.66</v>
      </c>
      <c r="M52" s="13">
        <v>19166.66</v>
      </c>
      <c r="N52" s="13">
        <v>19166.66</v>
      </c>
      <c r="O52" s="13">
        <v>19166.66</v>
      </c>
      <c r="P52" s="13">
        <v>19166.66</v>
      </c>
      <c r="Q52" s="13">
        <v>19166.66</v>
      </c>
      <c r="R52" s="13">
        <v>19166.66</v>
      </c>
      <c r="S52" s="13">
        <v>19166.66</v>
      </c>
      <c r="T52" s="13">
        <v>19166.66</v>
      </c>
      <c r="U52" s="9"/>
      <c r="V52" s="9"/>
      <c r="W52" s="9"/>
      <c r="X52" s="9"/>
      <c r="Y52" s="9"/>
    </row>
    <row r="53" spans="1:25" ht="10.5" customHeight="1" x14ac:dyDescent="0.2">
      <c r="A53" s="9"/>
      <c r="B53" s="12" t="s">
        <v>103</v>
      </c>
      <c r="C53" s="13">
        <v>183.63</v>
      </c>
      <c r="D53" s="13">
        <v>109.82</v>
      </c>
      <c r="E53" s="13">
        <v>109.82</v>
      </c>
      <c r="F53" s="13">
        <v>109.82</v>
      </c>
      <c r="G53" s="13">
        <v>109.82</v>
      </c>
      <c r="H53" s="13">
        <v>582.30999999999995</v>
      </c>
      <c r="I53" s="13">
        <v>714.82</v>
      </c>
      <c r="J53" s="13">
        <v>109.81</v>
      </c>
      <c r="K53" s="13">
        <v>744.82</v>
      </c>
      <c r="L53" s="13">
        <v>834.82</v>
      </c>
      <c r="M53" s="13">
        <v>804.82</v>
      </c>
      <c r="N53" s="13">
        <v>397.32</v>
      </c>
      <c r="O53" s="13">
        <v>109.82</v>
      </c>
      <c r="P53" s="13">
        <v>174.62</v>
      </c>
      <c r="Q53" s="13">
        <v>878.62</v>
      </c>
      <c r="R53" s="13">
        <v>381.12</v>
      </c>
      <c r="S53" s="13">
        <v>836.05</v>
      </c>
      <c r="T53" s="13">
        <v>501.19</v>
      </c>
      <c r="U53" s="9"/>
      <c r="V53" s="9"/>
      <c r="W53" s="9"/>
      <c r="X53" s="9"/>
      <c r="Y53" s="9"/>
    </row>
    <row r="54" spans="1:25" ht="10.5" customHeight="1" x14ac:dyDescent="0.2">
      <c r="A54" s="9"/>
      <c r="B54" s="12" t="s">
        <v>105</v>
      </c>
      <c r="C54" s="13">
        <v>1303.1300000000001</v>
      </c>
      <c r="D54" s="13">
        <v>1202.58</v>
      </c>
      <c r="E54" s="13">
        <v>1234.6099999999999</v>
      </c>
      <c r="F54" s="13">
        <v>1665.53</v>
      </c>
      <c r="G54" s="13">
        <v>1734.38</v>
      </c>
      <c r="H54" s="13">
        <v>1914.13</v>
      </c>
      <c r="I54" s="13">
        <v>274.33999999999997</v>
      </c>
      <c r="J54" s="13">
        <v>332.34</v>
      </c>
      <c r="K54" s="13">
        <v>288.83999999999997</v>
      </c>
      <c r="L54" s="13">
        <v>1308.22</v>
      </c>
      <c r="M54" s="13">
        <v>1676.88</v>
      </c>
      <c r="N54" s="13">
        <v>1676.88</v>
      </c>
      <c r="O54" s="13">
        <v>1370.88</v>
      </c>
      <c r="P54" s="13">
        <v>1523.88</v>
      </c>
      <c r="Q54" s="13">
        <v>1685.38</v>
      </c>
      <c r="R54" s="13">
        <v>1829.88</v>
      </c>
      <c r="S54" s="13">
        <v>1370.88</v>
      </c>
      <c r="T54" s="13">
        <v>1419.88</v>
      </c>
      <c r="U54" s="9"/>
      <c r="V54" s="9"/>
      <c r="W54" s="9"/>
      <c r="X54" s="9"/>
      <c r="Y54" s="9"/>
    </row>
    <row r="55" spans="1:25" ht="10.5" customHeight="1" x14ac:dyDescent="0.2">
      <c r="A55" s="9"/>
      <c r="B55" s="12" t="s">
        <v>107</v>
      </c>
      <c r="C55" s="13">
        <v>74148.87</v>
      </c>
      <c r="D55" s="13">
        <v>77012.5</v>
      </c>
      <c r="E55" s="13">
        <v>73750</v>
      </c>
      <c r="F55" s="13">
        <v>73750.09</v>
      </c>
      <c r="G55" s="13">
        <v>82500</v>
      </c>
      <c r="H55" s="13">
        <v>85416.66</v>
      </c>
      <c r="I55" s="13">
        <v>85416.66</v>
      </c>
      <c r="J55" s="13">
        <v>85416.66</v>
      </c>
      <c r="K55" s="13">
        <v>85496.94</v>
      </c>
      <c r="L55" s="13">
        <v>85416.66</v>
      </c>
      <c r="M55" s="13">
        <v>89374.99</v>
      </c>
      <c r="N55" s="13">
        <v>93333.32</v>
      </c>
      <c r="O55" s="13">
        <v>102916.65</v>
      </c>
      <c r="P55" s="13">
        <v>102916.65</v>
      </c>
      <c r="Q55" s="13">
        <v>100871.2</v>
      </c>
      <c r="R55" s="13">
        <v>87916.65</v>
      </c>
      <c r="S55" s="13">
        <v>92499.76</v>
      </c>
      <c r="T55" s="13">
        <v>74592.789999999994</v>
      </c>
      <c r="U55" s="9"/>
      <c r="V55" s="9"/>
      <c r="W55" s="9"/>
      <c r="X55" s="9"/>
      <c r="Y55" s="9"/>
    </row>
    <row r="56" spans="1:25" ht="10.5" customHeight="1" x14ac:dyDescent="0.2">
      <c r="A56" s="9"/>
      <c r="B56" s="12" t="s">
        <v>109</v>
      </c>
      <c r="C56" s="13">
        <v>2874.8</v>
      </c>
      <c r="D56" s="13">
        <v>2442.09</v>
      </c>
      <c r="E56" s="13">
        <v>2563.23</v>
      </c>
      <c r="F56" s="13">
        <v>2447.1</v>
      </c>
      <c r="G56" s="13">
        <v>2771.52</v>
      </c>
      <c r="H56" s="13">
        <v>4608.3</v>
      </c>
      <c r="I56" s="13">
        <v>2485.59</v>
      </c>
      <c r="J56" s="13">
        <v>2249.75</v>
      </c>
      <c r="K56" s="13">
        <v>2496.15</v>
      </c>
      <c r="L56" s="13">
        <v>2434.5300000000002</v>
      </c>
      <c r="M56" s="13">
        <v>2697.99</v>
      </c>
      <c r="N56" s="13">
        <v>2776.71</v>
      </c>
      <c r="O56" s="13">
        <v>3643.05</v>
      </c>
      <c r="P56" s="13">
        <v>969.99</v>
      </c>
      <c r="Q56" s="13">
        <v>4042.27</v>
      </c>
      <c r="R56" s="13">
        <v>1614.54</v>
      </c>
      <c r="S56" s="13">
        <v>3805.54</v>
      </c>
      <c r="T56" s="13">
        <v>2095.65</v>
      </c>
      <c r="U56" s="9"/>
      <c r="V56" s="9"/>
      <c r="W56" s="9"/>
      <c r="X56" s="9"/>
      <c r="Y56" s="9"/>
    </row>
    <row r="57" spans="1:25" ht="10.5" customHeight="1" x14ac:dyDescent="0.2">
      <c r="A57" s="9"/>
      <c r="B57" s="12" t="s">
        <v>110</v>
      </c>
      <c r="C57" s="13">
        <v>6840.14</v>
      </c>
      <c r="D57" s="13">
        <v>6108.86</v>
      </c>
      <c r="E57" s="13">
        <v>6072.95</v>
      </c>
      <c r="F57" s="13">
        <v>5596.13</v>
      </c>
      <c r="G57" s="13">
        <v>7906.66</v>
      </c>
      <c r="H57" s="13">
        <v>14755.4</v>
      </c>
      <c r="I57" s="13">
        <v>5058.01</v>
      </c>
      <c r="J57" s="13">
        <v>4517.8100000000004</v>
      </c>
      <c r="K57" s="13">
        <v>5243.57</v>
      </c>
      <c r="L57" s="13">
        <v>6867.36</v>
      </c>
      <c r="M57" s="13">
        <v>6690.91</v>
      </c>
      <c r="N57" s="13">
        <v>12549.06</v>
      </c>
      <c r="O57" s="13">
        <v>9207.9500000000007</v>
      </c>
      <c r="P57" s="13">
        <v>8697</v>
      </c>
      <c r="Q57" s="13">
        <v>8683.18</v>
      </c>
      <c r="R57" s="13">
        <v>6632.59</v>
      </c>
      <c r="S57" s="13">
        <v>8780.2900000000009</v>
      </c>
      <c r="T57" s="13">
        <v>8254.77</v>
      </c>
      <c r="U57" s="9"/>
      <c r="V57" s="9"/>
      <c r="W57" s="9"/>
      <c r="X57" s="9"/>
      <c r="Y57" s="9"/>
    </row>
    <row r="58" spans="1:25" ht="10.5" customHeight="1" x14ac:dyDescent="0.2">
      <c r="A58" s="9"/>
      <c r="B58" s="12" t="s">
        <v>111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8.4</v>
      </c>
      <c r="U58" s="9"/>
      <c r="V58" s="9"/>
      <c r="W58" s="9"/>
      <c r="X58" s="9"/>
      <c r="Y58" s="9"/>
    </row>
    <row r="59" spans="1:25" ht="10.5" customHeight="1" x14ac:dyDescent="0.2">
      <c r="A59" s="9"/>
      <c r="B59" s="14" t="s">
        <v>113</v>
      </c>
      <c r="C59" s="15">
        <f t="shared" ref="C59:T59" si="3">SUM(C48:C58)</f>
        <v>126575.18999999999</v>
      </c>
      <c r="D59" s="15">
        <f t="shared" si="3"/>
        <v>128070.74</v>
      </c>
      <c r="E59" s="15">
        <f t="shared" si="3"/>
        <v>123905.04</v>
      </c>
      <c r="F59" s="15">
        <f t="shared" si="3"/>
        <v>123867.52</v>
      </c>
      <c r="G59" s="15">
        <f t="shared" si="3"/>
        <v>135573.26999999999</v>
      </c>
      <c r="H59" s="15">
        <f t="shared" si="3"/>
        <v>148339.21</v>
      </c>
      <c r="I59" s="15">
        <f t="shared" si="3"/>
        <v>142602.78</v>
      </c>
      <c r="J59" s="15">
        <f t="shared" si="3"/>
        <v>141342.14000000001</v>
      </c>
      <c r="K59" s="15">
        <f t="shared" si="3"/>
        <v>143455.67999999999</v>
      </c>
      <c r="L59" s="15">
        <f t="shared" si="3"/>
        <v>145713.62</v>
      </c>
      <c r="M59" s="15">
        <f t="shared" si="3"/>
        <v>150060.68</v>
      </c>
      <c r="N59" s="15">
        <f t="shared" si="3"/>
        <v>159585.31999999998</v>
      </c>
      <c r="O59" s="15">
        <f t="shared" si="3"/>
        <v>166100.38</v>
      </c>
      <c r="P59" s="15">
        <f t="shared" si="3"/>
        <v>163134.16999999998</v>
      </c>
      <c r="Q59" s="15">
        <f t="shared" si="3"/>
        <v>165304.09</v>
      </c>
      <c r="R59" s="15">
        <f t="shared" si="3"/>
        <v>146793.04</v>
      </c>
      <c r="S59" s="15">
        <f t="shared" si="3"/>
        <v>156696.11000000002</v>
      </c>
      <c r="T59" s="15">
        <f t="shared" si="3"/>
        <v>135750.46999999997</v>
      </c>
      <c r="U59" s="9"/>
      <c r="V59" s="9"/>
      <c r="W59" s="9"/>
      <c r="X59" s="9"/>
      <c r="Y59" s="9"/>
    </row>
    <row r="60" spans="1:25" ht="10.5" customHeight="1" x14ac:dyDescent="0.2">
      <c r="A60" s="16"/>
      <c r="B60" s="16" t="s">
        <v>116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9"/>
      <c r="V60" s="9"/>
      <c r="W60" s="9"/>
      <c r="X60" s="9"/>
      <c r="Y60" s="9"/>
    </row>
    <row r="61" spans="1:25" ht="10.5" customHeight="1" x14ac:dyDescent="0.2">
      <c r="A61" s="9"/>
      <c r="B61" s="12" t="s">
        <v>118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207.2</v>
      </c>
      <c r="T61" s="13">
        <v>310.8</v>
      </c>
      <c r="U61" s="9"/>
      <c r="V61" s="9"/>
      <c r="W61" s="9"/>
      <c r="X61" s="9"/>
      <c r="Y61" s="9"/>
    </row>
    <row r="62" spans="1:25" ht="10.5" customHeight="1" x14ac:dyDescent="0.2">
      <c r="A62" s="9"/>
      <c r="B62" s="12" t="s">
        <v>119</v>
      </c>
      <c r="C62" s="13">
        <v>4767.54</v>
      </c>
      <c r="D62" s="13">
        <v>4423.6099999999997</v>
      </c>
      <c r="E62" s="13">
        <v>5206.96</v>
      </c>
      <c r="F62" s="13">
        <v>5880.98</v>
      </c>
      <c r="G62" s="13">
        <v>7145.41</v>
      </c>
      <c r="H62" s="13">
        <v>7070.02</v>
      </c>
      <c r="I62" s="13">
        <v>5584.03</v>
      </c>
      <c r="J62" s="13">
        <v>6336.65</v>
      </c>
      <c r="K62" s="13">
        <v>5844.51</v>
      </c>
      <c r="L62" s="13">
        <v>5352.77</v>
      </c>
      <c r="M62" s="13">
        <v>5797.11</v>
      </c>
      <c r="N62" s="13">
        <v>6977.9</v>
      </c>
      <c r="O62" s="13">
        <v>6042.09</v>
      </c>
      <c r="P62" s="13">
        <v>7212.38</v>
      </c>
      <c r="Q62" s="13">
        <v>6600.93</v>
      </c>
      <c r="R62" s="13">
        <v>8369.56</v>
      </c>
      <c r="S62" s="13">
        <v>8302.0300000000007</v>
      </c>
      <c r="T62" s="13">
        <v>8184.14</v>
      </c>
      <c r="U62" s="9"/>
      <c r="V62" s="9"/>
      <c r="W62" s="9"/>
      <c r="X62" s="9"/>
      <c r="Y62" s="9"/>
    </row>
    <row r="63" spans="1:25" ht="10.5" customHeight="1" x14ac:dyDescent="0.2">
      <c r="A63" s="9"/>
      <c r="B63" s="12" t="s">
        <v>200</v>
      </c>
      <c r="C63" s="13">
        <v>0</v>
      </c>
      <c r="D63" s="13">
        <v>0</v>
      </c>
      <c r="E63" s="13">
        <v>8500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3000</v>
      </c>
      <c r="M63" s="13">
        <v>0</v>
      </c>
      <c r="N63" s="13">
        <v>0</v>
      </c>
      <c r="O63" s="13">
        <v>0</v>
      </c>
      <c r="P63" s="13">
        <v>6000</v>
      </c>
      <c r="Q63" s="13">
        <v>0</v>
      </c>
      <c r="R63" s="13">
        <v>6000</v>
      </c>
      <c r="S63" s="13">
        <v>0</v>
      </c>
      <c r="T63" s="13">
        <v>0</v>
      </c>
      <c r="U63" s="9"/>
      <c r="V63" s="9"/>
      <c r="W63" s="9"/>
      <c r="X63" s="9"/>
      <c r="Y63" s="9"/>
    </row>
    <row r="64" spans="1:25" ht="10.5" customHeight="1" x14ac:dyDescent="0.2">
      <c r="A64" s="9"/>
      <c r="B64" s="12" t="s">
        <v>201</v>
      </c>
      <c r="C64" s="13">
        <v>902.17</v>
      </c>
      <c r="D64" s="13">
        <v>902.17</v>
      </c>
      <c r="E64" s="13">
        <v>902.17</v>
      </c>
      <c r="F64" s="13">
        <v>902.17</v>
      </c>
      <c r="G64" s="13">
        <v>7402.17</v>
      </c>
      <c r="H64" s="13">
        <v>902.17</v>
      </c>
      <c r="I64" s="13">
        <v>902.17</v>
      </c>
      <c r="J64" s="13">
        <v>902.17</v>
      </c>
      <c r="K64" s="13">
        <v>11402.17</v>
      </c>
      <c r="L64" s="13">
        <v>9127.17</v>
      </c>
      <c r="M64" s="13">
        <v>2502.17</v>
      </c>
      <c r="N64" s="13">
        <v>6237.5</v>
      </c>
      <c r="O64" s="13">
        <v>20787.5</v>
      </c>
      <c r="P64" s="13">
        <v>17000</v>
      </c>
      <c r="Q64" s="13">
        <v>47325</v>
      </c>
      <c r="R64" s="13">
        <v>45712.5</v>
      </c>
      <c r="S64" s="13">
        <v>36937.5</v>
      </c>
      <c r="T64" s="13">
        <v>61225</v>
      </c>
      <c r="U64" s="9"/>
      <c r="V64" s="9"/>
      <c r="W64" s="9"/>
      <c r="X64" s="9"/>
      <c r="Y64" s="9"/>
    </row>
    <row r="65" spans="1:25" ht="10.5" customHeight="1" x14ac:dyDescent="0.2">
      <c r="A65" s="9"/>
      <c r="B65" s="12" t="s">
        <v>120</v>
      </c>
      <c r="C65" s="13">
        <v>29294.58</v>
      </c>
      <c r="D65" s="13">
        <v>11323.91</v>
      </c>
      <c r="E65" s="13">
        <v>23662.36</v>
      </c>
      <c r="F65" s="13">
        <v>-1133.17</v>
      </c>
      <c r="G65" s="13">
        <v>56851.23</v>
      </c>
      <c r="H65" s="13">
        <v>250.83</v>
      </c>
      <c r="I65" s="13">
        <v>250.83</v>
      </c>
      <c r="J65" s="13">
        <v>365.09</v>
      </c>
      <c r="K65" s="13">
        <v>27048.27</v>
      </c>
      <c r="L65" s="13">
        <v>26052.95</v>
      </c>
      <c r="M65" s="13">
        <v>250.83</v>
      </c>
      <c r="N65" s="13">
        <v>250.83</v>
      </c>
      <c r="O65" s="13">
        <v>21705</v>
      </c>
      <c r="P65" s="13">
        <v>278</v>
      </c>
      <c r="Q65" s="13">
        <v>-3216.91</v>
      </c>
      <c r="R65" s="13">
        <v>69276.960000000006</v>
      </c>
      <c r="S65" s="13">
        <v>89275.41</v>
      </c>
      <c r="T65" s="13">
        <v>0</v>
      </c>
      <c r="U65" s="9"/>
      <c r="V65" s="9"/>
      <c r="W65" s="9"/>
      <c r="X65" s="9"/>
      <c r="Y65" s="9"/>
    </row>
    <row r="66" spans="1:25" ht="10.5" customHeight="1" x14ac:dyDescent="0.2">
      <c r="A66" s="9"/>
      <c r="B66" s="12" t="s">
        <v>122</v>
      </c>
      <c r="C66" s="13">
        <v>6666.67</v>
      </c>
      <c r="D66" s="13">
        <v>6666.67</v>
      </c>
      <c r="E66" s="13">
        <v>6666.67</v>
      </c>
      <c r="F66" s="13">
        <v>0</v>
      </c>
      <c r="G66" s="13">
        <v>0</v>
      </c>
      <c r="H66" s="13">
        <v>0</v>
      </c>
      <c r="I66" s="13">
        <v>5066.3999999999996</v>
      </c>
      <c r="J66" s="13">
        <v>5000</v>
      </c>
      <c r="K66" s="13">
        <v>5000</v>
      </c>
      <c r="L66" s="13">
        <v>0</v>
      </c>
      <c r="M66" s="13">
        <v>5098.92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1400</v>
      </c>
      <c r="T66" s="13">
        <v>742.37</v>
      </c>
      <c r="U66" s="9"/>
      <c r="V66" s="9"/>
      <c r="W66" s="9"/>
      <c r="X66" s="9"/>
      <c r="Y66" s="9"/>
    </row>
    <row r="67" spans="1:25" ht="10.5" customHeight="1" x14ac:dyDescent="0.2">
      <c r="A67" s="9"/>
      <c r="B67" s="12" t="s">
        <v>123</v>
      </c>
      <c r="C67" s="13">
        <v>3615.91</v>
      </c>
      <c r="D67" s="13">
        <v>3615.91</v>
      </c>
      <c r="E67" s="13">
        <v>3812.78</v>
      </c>
      <c r="F67" s="13">
        <v>3790.91</v>
      </c>
      <c r="G67" s="13">
        <v>3292.1</v>
      </c>
      <c r="H67" s="13">
        <v>3455.38</v>
      </c>
      <c r="I67" s="13">
        <v>3447.04</v>
      </c>
      <c r="J67" s="13">
        <v>4405.37</v>
      </c>
      <c r="K67" s="13">
        <v>4164.8</v>
      </c>
      <c r="L67" s="13">
        <v>4100.51</v>
      </c>
      <c r="M67" s="13">
        <v>3993.57</v>
      </c>
      <c r="N67" s="13">
        <v>3993.57</v>
      </c>
      <c r="O67" s="13">
        <v>3993.57</v>
      </c>
      <c r="P67" s="13">
        <v>4292.57</v>
      </c>
      <c r="Q67" s="13">
        <v>4066.27</v>
      </c>
      <c r="R67" s="13">
        <v>3867.27</v>
      </c>
      <c r="S67" s="13">
        <v>3867.27</v>
      </c>
      <c r="T67" s="13">
        <v>3862.8</v>
      </c>
      <c r="U67" s="9"/>
      <c r="V67" s="9"/>
      <c r="W67" s="9"/>
      <c r="X67" s="9"/>
      <c r="Y67" s="9"/>
    </row>
    <row r="68" spans="1:25" ht="10.5" customHeight="1" x14ac:dyDescent="0.2">
      <c r="A68" s="9"/>
      <c r="B68" s="12" t="s">
        <v>126</v>
      </c>
      <c r="C68" s="13">
        <v>0</v>
      </c>
      <c r="D68" s="13">
        <v>1119.31</v>
      </c>
      <c r="E68" s="13">
        <v>1335.04</v>
      </c>
      <c r="F68" s="13">
        <v>622.07000000000005</v>
      </c>
      <c r="G68" s="13">
        <v>990.5</v>
      </c>
      <c r="H68" s="13">
        <v>259.10000000000002</v>
      </c>
      <c r="I68" s="13">
        <v>0</v>
      </c>
      <c r="J68" s="13">
        <v>0</v>
      </c>
      <c r="K68" s="13">
        <v>299</v>
      </c>
      <c r="L68" s="13">
        <v>1543.76</v>
      </c>
      <c r="M68" s="13">
        <v>173.71</v>
      </c>
      <c r="N68" s="13">
        <v>207.82</v>
      </c>
      <c r="O68" s="13">
        <v>226.59</v>
      </c>
      <c r="P68" s="13">
        <v>0</v>
      </c>
      <c r="Q68" s="13">
        <v>1085.49</v>
      </c>
      <c r="R68" s="13">
        <v>1220.3499999999999</v>
      </c>
      <c r="S68" s="13">
        <v>0</v>
      </c>
      <c r="T68" s="13">
        <v>970</v>
      </c>
      <c r="U68" s="9"/>
      <c r="V68" s="9"/>
      <c r="W68" s="9"/>
      <c r="X68" s="9"/>
      <c r="Y68" s="9"/>
    </row>
    <row r="69" spans="1:25" ht="10.5" customHeight="1" x14ac:dyDescent="0.2">
      <c r="A69" s="9"/>
      <c r="B69" s="12" t="s">
        <v>128</v>
      </c>
      <c r="C69" s="13">
        <v>125.38</v>
      </c>
      <c r="D69" s="13">
        <v>162.19</v>
      </c>
      <c r="E69" s="13">
        <v>369.14</v>
      </c>
      <c r="F69" s="13">
        <v>241.35</v>
      </c>
      <c r="G69" s="13">
        <v>1268.95</v>
      </c>
      <c r="H69" s="13">
        <v>7199.17</v>
      </c>
      <c r="I69" s="13">
        <v>3948.14</v>
      </c>
      <c r="J69" s="13">
        <v>1721.18</v>
      </c>
      <c r="K69" s="13">
        <v>165.56</v>
      </c>
      <c r="L69" s="13">
        <v>79</v>
      </c>
      <c r="M69" s="13">
        <v>1829</v>
      </c>
      <c r="N69" s="13">
        <v>2117.9299999999998</v>
      </c>
      <c r="O69" s="13">
        <v>123.34</v>
      </c>
      <c r="P69" s="13">
        <v>186.49</v>
      </c>
      <c r="Q69" s="13">
        <v>79</v>
      </c>
      <c r="R69" s="13">
        <v>416.49</v>
      </c>
      <c r="S69" s="13">
        <v>4531.51</v>
      </c>
      <c r="T69" s="13">
        <v>12991.53</v>
      </c>
      <c r="U69" s="9"/>
      <c r="V69" s="9"/>
      <c r="W69" s="9"/>
      <c r="X69" s="9"/>
      <c r="Y69" s="9"/>
    </row>
    <row r="70" spans="1:25" ht="10.5" customHeight="1" x14ac:dyDescent="0.2">
      <c r="A70" s="9"/>
      <c r="B70" s="12" t="s">
        <v>129</v>
      </c>
      <c r="C70" s="13">
        <v>4020.45</v>
      </c>
      <c r="D70" s="13">
        <v>12415.08</v>
      </c>
      <c r="E70" s="13">
        <v>0</v>
      </c>
      <c r="F70" s="13">
        <v>0</v>
      </c>
      <c r="G70" s="13">
        <v>5295.28</v>
      </c>
      <c r="H70" s="13">
        <v>0</v>
      </c>
      <c r="I70" s="13">
        <v>0</v>
      </c>
      <c r="J70" s="13">
        <v>0</v>
      </c>
      <c r="K70" s="13">
        <v>5000</v>
      </c>
      <c r="L70" s="13">
        <v>9244.17</v>
      </c>
      <c r="M70" s="13">
        <v>3079.99</v>
      </c>
      <c r="N70" s="13">
        <v>0</v>
      </c>
      <c r="O70" s="13">
        <v>8885</v>
      </c>
      <c r="P70" s="13">
        <v>6511</v>
      </c>
      <c r="Q70" s="13">
        <v>0</v>
      </c>
      <c r="R70" s="13">
        <v>0</v>
      </c>
      <c r="S70" s="13">
        <v>0</v>
      </c>
      <c r="T70" s="13">
        <v>0</v>
      </c>
      <c r="U70" s="9"/>
      <c r="V70" s="9"/>
      <c r="W70" s="9"/>
      <c r="X70" s="9"/>
      <c r="Y70" s="9"/>
    </row>
    <row r="71" spans="1:25" ht="10.5" customHeight="1" x14ac:dyDescent="0.2">
      <c r="A71" s="9"/>
      <c r="B71" s="14" t="s">
        <v>131</v>
      </c>
      <c r="C71" s="15">
        <f t="shared" ref="C71:T71" si="4">SUM(C61:C70)</f>
        <v>49392.69999999999</v>
      </c>
      <c r="D71" s="15">
        <f t="shared" si="4"/>
        <v>40628.85</v>
      </c>
      <c r="E71" s="15">
        <f t="shared" si="4"/>
        <v>50455.119999999995</v>
      </c>
      <c r="F71" s="15">
        <f t="shared" si="4"/>
        <v>10304.31</v>
      </c>
      <c r="G71" s="15">
        <f t="shared" si="4"/>
        <v>82245.64</v>
      </c>
      <c r="H71" s="15">
        <f t="shared" si="4"/>
        <v>19136.670000000002</v>
      </c>
      <c r="I71" s="15">
        <f t="shared" si="4"/>
        <v>19198.61</v>
      </c>
      <c r="J71" s="15">
        <f t="shared" si="4"/>
        <v>18730.46</v>
      </c>
      <c r="K71" s="15">
        <f t="shared" si="4"/>
        <v>58924.31</v>
      </c>
      <c r="L71" s="15">
        <f t="shared" si="4"/>
        <v>58500.33</v>
      </c>
      <c r="M71" s="15">
        <f t="shared" si="4"/>
        <v>22725.299999999996</v>
      </c>
      <c r="N71" s="15">
        <f t="shared" si="4"/>
        <v>19785.55</v>
      </c>
      <c r="O71" s="15">
        <f t="shared" si="4"/>
        <v>61763.089999999989</v>
      </c>
      <c r="P71" s="15">
        <f t="shared" si="4"/>
        <v>41480.439999999995</v>
      </c>
      <c r="Q71" s="15">
        <f t="shared" si="4"/>
        <v>55939.78</v>
      </c>
      <c r="R71" s="15">
        <f t="shared" si="4"/>
        <v>134863.13</v>
      </c>
      <c r="S71" s="15">
        <f t="shared" si="4"/>
        <v>144520.92000000001</v>
      </c>
      <c r="T71" s="15">
        <f t="shared" si="4"/>
        <v>88286.64</v>
      </c>
      <c r="U71" s="9"/>
      <c r="V71" s="9"/>
      <c r="W71" s="9"/>
      <c r="X71" s="9"/>
      <c r="Y71" s="9"/>
    </row>
    <row r="72" spans="1:25" ht="10.5" customHeight="1" x14ac:dyDescent="0.2">
      <c r="A72" s="9"/>
      <c r="B72" s="12" t="s">
        <v>135</v>
      </c>
      <c r="C72" s="13">
        <v>418.29</v>
      </c>
      <c r="D72" s="13">
        <v>486.73</v>
      </c>
      <c r="E72" s="13">
        <v>135.62</v>
      </c>
      <c r="F72" s="13">
        <v>151.58000000000001</v>
      </c>
      <c r="G72" s="13">
        <v>1054.3399999999999</v>
      </c>
      <c r="H72" s="13">
        <v>3081.86</v>
      </c>
      <c r="I72" s="13">
        <v>3445.61</v>
      </c>
      <c r="J72" s="13">
        <v>41.22</v>
      </c>
      <c r="K72" s="13">
        <v>352.81</v>
      </c>
      <c r="L72" s="13">
        <v>663.28</v>
      </c>
      <c r="M72" s="13">
        <v>979.82</v>
      </c>
      <c r="N72" s="13">
        <v>632.42999999999995</v>
      </c>
      <c r="O72" s="13">
        <v>514.86</v>
      </c>
      <c r="P72" s="13">
        <v>294.88</v>
      </c>
      <c r="Q72" s="13">
        <v>90.1</v>
      </c>
      <c r="R72" s="13">
        <v>499</v>
      </c>
      <c r="S72" s="13">
        <v>2520.1999999999998</v>
      </c>
      <c r="T72" s="13">
        <v>2990.12</v>
      </c>
      <c r="U72" s="9"/>
      <c r="V72" s="9"/>
      <c r="W72" s="9"/>
      <c r="X72" s="9"/>
      <c r="Y72" s="9"/>
    </row>
    <row r="73" spans="1:25" ht="10.5" customHeight="1" x14ac:dyDescent="0.2">
      <c r="A73" s="9"/>
      <c r="B73" s="12" t="s">
        <v>138</v>
      </c>
      <c r="C73" s="13">
        <v>769.16</v>
      </c>
      <c r="D73" s="13">
        <v>321.56</v>
      </c>
      <c r="E73" s="13">
        <v>344.22</v>
      </c>
      <c r="F73" s="13">
        <v>575.15</v>
      </c>
      <c r="G73" s="13">
        <v>347.88</v>
      </c>
      <c r="H73" s="13">
        <v>406.81</v>
      </c>
      <c r="I73" s="13">
        <v>450.45</v>
      </c>
      <c r="J73" s="13">
        <v>581.55999999999995</v>
      </c>
      <c r="K73" s="13">
        <v>621.20000000000005</v>
      </c>
      <c r="L73" s="13">
        <v>676.61</v>
      </c>
      <c r="M73" s="13">
        <v>664.69</v>
      </c>
      <c r="N73" s="13">
        <v>427.2</v>
      </c>
      <c r="O73" s="13">
        <v>256.64999999999998</v>
      </c>
      <c r="P73" s="13">
        <v>815.72</v>
      </c>
      <c r="Q73" s="13">
        <v>1002.01</v>
      </c>
      <c r="R73" s="13">
        <v>757.64</v>
      </c>
      <c r="S73" s="13">
        <v>755.01</v>
      </c>
      <c r="T73" s="13">
        <v>869.5</v>
      </c>
      <c r="U73" s="9"/>
      <c r="V73" s="9"/>
      <c r="W73" s="9"/>
      <c r="X73" s="9"/>
      <c r="Y73" s="9"/>
    </row>
    <row r="74" spans="1:25" ht="10.5" customHeight="1" x14ac:dyDescent="0.2">
      <c r="A74" s="9"/>
      <c r="B74" s="12" t="s">
        <v>140</v>
      </c>
      <c r="C74" s="13">
        <v>150.25</v>
      </c>
      <c r="D74" s="13">
        <v>468.44</v>
      </c>
      <c r="E74" s="13">
        <v>2943.29</v>
      </c>
      <c r="F74" s="13">
        <v>31.93</v>
      </c>
      <c r="G74" s="13">
        <v>333.83</v>
      </c>
      <c r="H74" s="13">
        <v>2698.31</v>
      </c>
      <c r="I74" s="13">
        <v>733.36</v>
      </c>
      <c r="J74" s="13">
        <v>2186.0500000000002</v>
      </c>
      <c r="K74" s="13">
        <v>0</v>
      </c>
      <c r="L74" s="13">
        <v>500</v>
      </c>
      <c r="M74" s="13">
        <v>325.54000000000002</v>
      </c>
      <c r="N74" s="13">
        <v>2126.75</v>
      </c>
      <c r="O74" s="13">
        <v>140.19999999999999</v>
      </c>
      <c r="P74" s="13">
        <v>114.02</v>
      </c>
      <c r="Q74" s="13">
        <v>3857.99</v>
      </c>
      <c r="R74" s="13">
        <v>190.11</v>
      </c>
      <c r="S74" s="13">
        <v>6444.61</v>
      </c>
      <c r="T74" s="13">
        <v>2079.1</v>
      </c>
      <c r="U74" s="9"/>
      <c r="V74" s="9"/>
      <c r="W74" s="9"/>
      <c r="X74" s="9"/>
      <c r="Y74" s="9"/>
    </row>
    <row r="75" spans="1:25" ht="10.5" customHeight="1" x14ac:dyDescent="0.2">
      <c r="A75" s="9"/>
      <c r="B75" s="12" t="s">
        <v>141</v>
      </c>
      <c r="C75" s="13">
        <v>32645.82</v>
      </c>
      <c r="D75" s="13">
        <v>32645.82</v>
      </c>
      <c r="E75" s="13">
        <v>31666.66</v>
      </c>
      <c r="F75" s="13">
        <v>31666.66</v>
      </c>
      <c r="G75" s="13">
        <v>31166.66</v>
      </c>
      <c r="H75" s="13">
        <v>30666.66</v>
      </c>
      <c r="I75" s="13">
        <v>30666.66</v>
      </c>
      <c r="J75" s="13">
        <v>30666.66</v>
      </c>
      <c r="K75" s="13">
        <v>30677.4</v>
      </c>
      <c r="L75" s="13">
        <v>30666.66</v>
      </c>
      <c r="M75" s="13">
        <v>30666.66</v>
      </c>
      <c r="N75" s="13">
        <v>30666.66</v>
      </c>
      <c r="O75" s="13">
        <v>31197.91</v>
      </c>
      <c r="P75" s="13">
        <v>31197.91</v>
      </c>
      <c r="Q75" s="13">
        <v>31197.91</v>
      </c>
      <c r="R75" s="13">
        <v>31197.91</v>
      </c>
      <c r="S75" s="13">
        <v>30852.94</v>
      </c>
      <c r="T75" s="13">
        <v>31197.91</v>
      </c>
      <c r="U75" s="9"/>
      <c r="V75" s="9"/>
      <c r="W75" s="9"/>
      <c r="X75" s="9"/>
      <c r="Y75" s="9"/>
    </row>
    <row r="76" spans="1:25" ht="10.5" customHeight="1" x14ac:dyDescent="0.2">
      <c r="A76" s="9"/>
      <c r="B76" s="12" t="s">
        <v>143</v>
      </c>
      <c r="C76" s="13">
        <v>520.5</v>
      </c>
      <c r="D76" s="13">
        <v>505.95</v>
      </c>
      <c r="E76" s="13">
        <v>422.25</v>
      </c>
      <c r="F76" s="13">
        <v>419.12</v>
      </c>
      <c r="G76" s="13">
        <v>465.75</v>
      </c>
      <c r="H76" s="13">
        <v>658.87</v>
      </c>
      <c r="I76" s="13">
        <v>584.01</v>
      </c>
      <c r="J76" s="13">
        <v>594.63</v>
      </c>
      <c r="K76" s="13">
        <v>607.55999999999995</v>
      </c>
      <c r="L76" s="13">
        <v>641.54999999999995</v>
      </c>
      <c r="M76" s="13">
        <v>574.04</v>
      </c>
      <c r="N76" s="13">
        <v>1090.56</v>
      </c>
      <c r="O76" s="13">
        <v>1139.8</v>
      </c>
      <c r="P76" s="13">
        <v>1139.8</v>
      </c>
      <c r="Q76" s="13">
        <v>1558.55</v>
      </c>
      <c r="R76" s="13">
        <v>671.83</v>
      </c>
      <c r="S76" s="13">
        <v>1464.44</v>
      </c>
      <c r="T76" s="13">
        <v>818.81</v>
      </c>
      <c r="U76" s="9"/>
      <c r="V76" s="9"/>
      <c r="W76" s="9"/>
      <c r="X76" s="9"/>
      <c r="Y76" s="9"/>
    </row>
    <row r="77" spans="1:25" ht="10.5" customHeight="1" x14ac:dyDescent="0.2">
      <c r="A77" s="9"/>
      <c r="B77" s="12" t="s">
        <v>145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0.21</v>
      </c>
      <c r="T77" s="13">
        <v>1.9</v>
      </c>
      <c r="U77" s="9"/>
      <c r="V77" s="9"/>
      <c r="W77" s="9"/>
      <c r="X77" s="9"/>
      <c r="Y77" s="9"/>
    </row>
    <row r="78" spans="1:25" ht="10.5" customHeight="1" x14ac:dyDescent="0.2">
      <c r="A78" s="9"/>
      <c r="B78" s="12" t="s">
        <v>146</v>
      </c>
      <c r="C78" s="13">
        <v>2344.4299999999998</v>
      </c>
      <c r="D78" s="13">
        <v>2344.4299999999998</v>
      </c>
      <c r="E78" s="13">
        <v>2269.5300000000002</v>
      </c>
      <c r="F78" s="13">
        <v>2269.5300000000002</v>
      </c>
      <c r="G78" s="13">
        <v>2157.2800000000002</v>
      </c>
      <c r="H78" s="13">
        <v>5979.99</v>
      </c>
      <c r="I78" s="13">
        <v>2218.9299999999998</v>
      </c>
      <c r="J78" s="13">
        <v>2201.6</v>
      </c>
      <c r="K78" s="13">
        <v>2187.25</v>
      </c>
      <c r="L78" s="13">
        <v>2184.2800000000002</v>
      </c>
      <c r="M78" s="13">
        <v>2192.6</v>
      </c>
      <c r="N78" s="13">
        <v>2270.7800000000002</v>
      </c>
      <c r="O78" s="13">
        <v>2210.36</v>
      </c>
      <c r="P78" s="13">
        <v>2176.9299999999998</v>
      </c>
      <c r="Q78" s="13">
        <v>2891.28</v>
      </c>
      <c r="R78" s="13">
        <v>2176.75</v>
      </c>
      <c r="S78" s="13">
        <v>2214.91</v>
      </c>
      <c r="T78" s="13">
        <v>2364.09</v>
      </c>
      <c r="U78" s="9"/>
      <c r="V78" s="9"/>
      <c r="W78" s="9"/>
      <c r="X78" s="9"/>
      <c r="Y78" s="9"/>
    </row>
    <row r="79" spans="1:25" ht="10.5" customHeight="1" x14ac:dyDescent="0.2">
      <c r="A79" s="9"/>
      <c r="B79" s="12" t="s">
        <v>147</v>
      </c>
      <c r="C79" s="13">
        <v>2587.6799999999998</v>
      </c>
      <c r="D79" s="13">
        <v>2597.48</v>
      </c>
      <c r="E79" s="13">
        <v>2577.88</v>
      </c>
      <c r="F79" s="13">
        <v>2557.34</v>
      </c>
      <c r="G79" s="13">
        <v>2598.56</v>
      </c>
      <c r="H79" s="13">
        <v>2786.99</v>
      </c>
      <c r="I79" s="13">
        <v>2621.17</v>
      </c>
      <c r="J79" s="13">
        <v>2461.64</v>
      </c>
      <c r="K79" s="13">
        <v>2279.3000000000002</v>
      </c>
      <c r="L79" s="13">
        <v>2279.3000000000002</v>
      </c>
      <c r="M79" s="13">
        <v>2279.3000000000002</v>
      </c>
      <c r="N79" s="13">
        <v>2279.3000000000002</v>
      </c>
      <c r="O79" s="13">
        <v>2279.3000000000002</v>
      </c>
      <c r="P79" s="13">
        <v>2471.7800000000002</v>
      </c>
      <c r="Q79" s="13">
        <v>2096.27</v>
      </c>
      <c r="R79" s="13">
        <v>2092.87</v>
      </c>
      <c r="S79" s="13">
        <v>2528.64</v>
      </c>
      <c r="T79" s="13">
        <v>68.45</v>
      </c>
      <c r="U79" s="9"/>
      <c r="V79" s="9"/>
      <c r="W79" s="9"/>
      <c r="X79" s="9"/>
      <c r="Y79" s="9"/>
    </row>
    <row r="80" spans="1:25" ht="10.5" customHeight="1" x14ac:dyDescent="0.2">
      <c r="A80" s="9"/>
      <c r="B80" s="12" t="s">
        <v>149</v>
      </c>
      <c r="C80" s="13">
        <v>140.52000000000001</v>
      </c>
      <c r="D80" s="13">
        <v>273.16000000000003</v>
      </c>
      <c r="E80" s="13">
        <v>0</v>
      </c>
      <c r="F80" s="13">
        <v>18.47</v>
      </c>
      <c r="G80" s="13">
        <v>432.05</v>
      </c>
      <c r="H80" s="13">
        <v>0</v>
      </c>
      <c r="I80" s="13">
        <v>0</v>
      </c>
      <c r="J80" s="13">
        <v>0</v>
      </c>
      <c r="K80" s="13">
        <v>47.09</v>
      </c>
      <c r="L80" s="13">
        <v>134.18</v>
      </c>
      <c r="M80" s="13">
        <v>34.75</v>
      </c>
      <c r="N80" s="13">
        <v>275.26</v>
      </c>
      <c r="O80" s="13">
        <v>0</v>
      </c>
      <c r="P80" s="13">
        <v>0</v>
      </c>
      <c r="Q80" s="13">
        <v>0</v>
      </c>
      <c r="R80" s="13">
        <v>79.33</v>
      </c>
      <c r="S80" s="13">
        <v>0</v>
      </c>
      <c r="T80" s="13">
        <v>0</v>
      </c>
      <c r="U80" s="9"/>
      <c r="V80" s="9"/>
      <c r="W80" s="9"/>
      <c r="X80" s="9"/>
      <c r="Y80" s="9"/>
    </row>
    <row r="81" spans="1:25" ht="10.5" customHeight="1" x14ac:dyDescent="0.2">
      <c r="A81" s="9"/>
      <c r="B81" s="12" t="s">
        <v>150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151.5</v>
      </c>
      <c r="U81" s="9"/>
      <c r="V81" s="9"/>
      <c r="W81" s="9"/>
      <c r="X81" s="9"/>
      <c r="Y81" s="9"/>
    </row>
    <row r="82" spans="1:25" ht="10.5" customHeight="1" x14ac:dyDescent="0.2">
      <c r="A82" s="9"/>
      <c r="B82" s="12" t="s">
        <v>151</v>
      </c>
      <c r="C82" s="13">
        <v>3933.17</v>
      </c>
      <c r="D82" s="13">
        <v>3611.89</v>
      </c>
      <c r="E82" s="13">
        <v>3820.04</v>
      </c>
      <c r="F82" s="13">
        <v>3973.26</v>
      </c>
      <c r="G82" s="13">
        <v>4079.93</v>
      </c>
      <c r="H82" s="13">
        <v>4076.35</v>
      </c>
      <c r="I82" s="13">
        <v>4006.25</v>
      </c>
      <c r="J82" s="13">
        <v>3653.24</v>
      </c>
      <c r="K82" s="13">
        <v>4006.25</v>
      </c>
      <c r="L82" s="13">
        <v>4006.25</v>
      </c>
      <c r="M82" s="13">
        <v>3557.85</v>
      </c>
      <c r="N82" s="13">
        <v>3965.47</v>
      </c>
      <c r="O82" s="13">
        <v>3390.85</v>
      </c>
      <c r="P82" s="13">
        <v>3390.85</v>
      </c>
      <c r="Q82" s="13">
        <v>4306.8999999999996</v>
      </c>
      <c r="R82" s="13">
        <v>1727.69</v>
      </c>
      <c r="S82" s="13">
        <v>3120.09</v>
      </c>
      <c r="T82" s="13">
        <v>2383.41</v>
      </c>
      <c r="U82" s="9"/>
      <c r="V82" s="9"/>
      <c r="W82" s="9"/>
      <c r="X82" s="9"/>
      <c r="Y82" s="9"/>
    </row>
    <row r="83" spans="1:25" ht="10.5" customHeight="1" x14ac:dyDescent="0.2">
      <c r="A83" s="9"/>
      <c r="B83" s="12" t="s">
        <v>152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25.2</v>
      </c>
      <c r="U83" s="9"/>
      <c r="V83" s="9"/>
      <c r="W83" s="9"/>
      <c r="X83" s="9"/>
      <c r="Y83" s="9"/>
    </row>
    <row r="84" spans="1:25" ht="10.5" customHeight="1" x14ac:dyDescent="0.2">
      <c r="A84" s="9"/>
      <c r="B84" s="12" t="s">
        <v>153</v>
      </c>
      <c r="C84" s="13">
        <v>9570.18</v>
      </c>
      <c r="D84" s="13">
        <v>9577.84</v>
      </c>
      <c r="E84" s="13">
        <v>9207.6200000000008</v>
      </c>
      <c r="F84" s="13">
        <v>9207.6200000000008</v>
      </c>
      <c r="G84" s="13">
        <v>9582.67</v>
      </c>
      <c r="H84" s="13">
        <v>13717.16</v>
      </c>
      <c r="I84" s="13">
        <v>5527.27</v>
      </c>
      <c r="J84" s="13">
        <v>6530.64</v>
      </c>
      <c r="K84" s="13">
        <v>6916.55</v>
      </c>
      <c r="L84" s="13">
        <v>7707.34</v>
      </c>
      <c r="M84" s="13">
        <v>8720.85</v>
      </c>
      <c r="N84" s="13">
        <v>9211.17</v>
      </c>
      <c r="O84" s="13">
        <v>8791.4599999999991</v>
      </c>
      <c r="P84" s="13">
        <v>9582.23</v>
      </c>
      <c r="Q84" s="13">
        <v>9933.94</v>
      </c>
      <c r="R84" s="13">
        <v>8101.27</v>
      </c>
      <c r="S84" s="13">
        <v>8393.69</v>
      </c>
      <c r="T84" s="13">
        <v>10683.95</v>
      </c>
      <c r="U84" s="9"/>
      <c r="V84" s="9"/>
      <c r="W84" s="9"/>
      <c r="X84" s="9"/>
      <c r="Y84" s="9"/>
    </row>
    <row r="85" spans="1:25" ht="10.5" customHeight="1" x14ac:dyDescent="0.2">
      <c r="A85" s="9"/>
      <c r="B85" s="12" t="s">
        <v>155</v>
      </c>
      <c r="C85" s="13">
        <v>0</v>
      </c>
      <c r="D85" s="13">
        <v>0</v>
      </c>
      <c r="E85" s="13">
        <v>0</v>
      </c>
      <c r="F85" s="13">
        <v>3772.77</v>
      </c>
      <c r="G85" s="13">
        <v>0</v>
      </c>
      <c r="H85" s="13">
        <v>0</v>
      </c>
      <c r="I85" s="13">
        <v>2500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9"/>
      <c r="V85" s="9"/>
      <c r="W85" s="9"/>
      <c r="X85" s="9"/>
      <c r="Y85" s="9"/>
    </row>
    <row r="86" spans="1:25" ht="10.5" customHeight="1" x14ac:dyDescent="0.2">
      <c r="A86" s="9"/>
      <c r="B86" s="12" t="s">
        <v>157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15750</v>
      </c>
      <c r="U86" s="9"/>
      <c r="V86" s="9"/>
      <c r="W86" s="9"/>
      <c r="X86" s="9"/>
      <c r="Y86" s="9"/>
    </row>
    <row r="87" spans="1:25" ht="10.5" customHeight="1" x14ac:dyDescent="0.2">
      <c r="A87" s="9"/>
      <c r="B87" s="12" t="s">
        <v>159</v>
      </c>
      <c r="C87" s="13">
        <v>4622.25</v>
      </c>
      <c r="D87" s="13">
        <v>4781.45</v>
      </c>
      <c r="E87" s="13">
        <v>6393.95</v>
      </c>
      <c r="F87" s="13">
        <v>4781.45</v>
      </c>
      <c r="G87" s="13">
        <v>10006.450000000001</v>
      </c>
      <c r="H87" s="13">
        <v>8158.2</v>
      </c>
      <c r="I87" s="13">
        <v>4758.2</v>
      </c>
      <c r="J87" s="13">
        <v>4758.2</v>
      </c>
      <c r="K87" s="13">
        <v>4749</v>
      </c>
      <c r="L87" s="13">
        <v>4899</v>
      </c>
      <c r="M87" s="13">
        <v>4899</v>
      </c>
      <c r="N87" s="13">
        <v>4749</v>
      </c>
      <c r="O87" s="13">
        <v>4749</v>
      </c>
      <c r="P87" s="13">
        <v>5499</v>
      </c>
      <c r="Q87" s="13">
        <v>4749</v>
      </c>
      <c r="R87" s="13">
        <v>1249</v>
      </c>
      <c r="S87" s="13">
        <v>-98.5</v>
      </c>
      <c r="T87" s="13">
        <v>3374.42</v>
      </c>
      <c r="U87" s="9"/>
      <c r="V87" s="9"/>
      <c r="W87" s="9"/>
      <c r="X87" s="9"/>
      <c r="Y87" s="9"/>
    </row>
    <row r="88" spans="1:25" ht="10.5" customHeight="1" x14ac:dyDescent="0.2">
      <c r="A88" s="9"/>
      <c r="B88" s="12" t="s">
        <v>161</v>
      </c>
      <c r="C88" s="13">
        <v>6633.33</v>
      </c>
      <c r="D88" s="13">
        <v>6633.33</v>
      </c>
      <c r="E88" s="13">
        <v>6633.33</v>
      </c>
      <c r="F88" s="13">
        <v>6633.33</v>
      </c>
      <c r="G88" s="13">
        <v>6688.23</v>
      </c>
      <c r="H88" s="13">
        <v>12595.83</v>
      </c>
      <c r="I88" s="13">
        <v>6633.33</v>
      </c>
      <c r="J88" s="13">
        <v>6633.33</v>
      </c>
      <c r="K88" s="13">
        <v>6633.33</v>
      </c>
      <c r="L88" s="13">
        <v>6633.33</v>
      </c>
      <c r="M88" s="13">
        <v>6633.33</v>
      </c>
      <c r="N88" s="13">
        <v>6633.33</v>
      </c>
      <c r="O88" s="13">
        <v>6633.33</v>
      </c>
      <c r="P88" s="13">
        <v>6633.33</v>
      </c>
      <c r="Q88" s="13">
        <v>6633.33</v>
      </c>
      <c r="R88" s="13">
        <v>6633.33</v>
      </c>
      <c r="S88" s="13">
        <v>6633.33</v>
      </c>
      <c r="T88" s="13">
        <v>6633.33</v>
      </c>
      <c r="U88" s="9"/>
      <c r="V88" s="9"/>
      <c r="W88" s="9"/>
      <c r="X88" s="9"/>
      <c r="Y88" s="9"/>
    </row>
    <row r="89" spans="1:25" ht="10.5" customHeight="1" x14ac:dyDescent="0.2">
      <c r="A89" s="9"/>
      <c r="B89" s="12" t="s">
        <v>162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9"/>
      <c r="V89" s="9"/>
      <c r="W89" s="9"/>
      <c r="X89" s="9"/>
      <c r="Y89" s="9"/>
    </row>
    <row r="90" spans="1:25" ht="10.5" customHeight="1" x14ac:dyDescent="0.2">
      <c r="A90" s="9"/>
      <c r="B90" s="12" t="s">
        <v>163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9"/>
      <c r="V90" s="9"/>
      <c r="W90" s="9"/>
      <c r="X90" s="9"/>
      <c r="Y90" s="9"/>
    </row>
    <row r="91" spans="1:25" ht="10.5" customHeight="1" x14ac:dyDescent="0.2">
      <c r="A91" s="9"/>
      <c r="B91" s="12" t="s">
        <v>164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9"/>
      <c r="V91" s="9"/>
      <c r="W91" s="9"/>
      <c r="X91" s="9"/>
      <c r="Y91" s="9"/>
    </row>
    <row r="92" spans="1:25" ht="10.5" customHeight="1" x14ac:dyDescent="0.2">
      <c r="A92" s="9"/>
      <c r="B92" s="12" t="s">
        <v>166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9"/>
      <c r="V92" s="9"/>
      <c r="W92" s="9"/>
      <c r="X92" s="9"/>
      <c r="Y92" s="9"/>
    </row>
    <row r="93" spans="1:25" ht="10.5" customHeight="1" x14ac:dyDescent="0.2">
      <c r="A93" s="9"/>
      <c r="B93" s="12" t="s">
        <v>167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9533.76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9"/>
      <c r="V93" s="9"/>
      <c r="W93" s="9"/>
      <c r="X93" s="9"/>
      <c r="Y93" s="9"/>
    </row>
    <row r="94" spans="1:25" ht="10.5" customHeight="1" x14ac:dyDescent="0.2">
      <c r="A94" s="9"/>
      <c r="B94" s="12" t="s">
        <v>168</v>
      </c>
      <c r="C94" s="13">
        <v>32405.53</v>
      </c>
      <c r="D94" s="13">
        <v>30748.11</v>
      </c>
      <c r="E94" s="13">
        <v>27735.33</v>
      </c>
      <c r="F94" s="13">
        <v>25712.2</v>
      </c>
      <c r="G94" s="13">
        <v>25343.94</v>
      </c>
      <c r="H94" s="13">
        <v>24291.98</v>
      </c>
      <c r="I94" s="13">
        <v>24897.17</v>
      </c>
      <c r="J94" s="13">
        <v>22385.68</v>
      </c>
      <c r="K94" s="13">
        <v>23632.42</v>
      </c>
      <c r="L94" s="13">
        <v>20593.77</v>
      </c>
      <c r="M94" s="13">
        <v>20896.439999999999</v>
      </c>
      <c r="N94" s="13">
        <v>17823.77</v>
      </c>
      <c r="O94" s="13">
        <v>17779.060000000001</v>
      </c>
      <c r="P94" s="13">
        <v>16570.5</v>
      </c>
      <c r="Q94" s="13">
        <v>16997.259999999998</v>
      </c>
      <c r="R94" s="13">
        <v>15867.9</v>
      </c>
      <c r="S94" s="13">
        <v>20315.939999999999</v>
      </c>
      <c r="T94" s="13">
        <v>13196.24</v>
      </c>
      <c r="U94" s="9"/>
      <c r="V94" s="9"/>
      <c r="W94" s="9"/>
      <c r="X94" s="9"/>
      <c r="Y94" s="9"/>
    </row>
    <row r="95" spans="1:25" ht="10.5" customHeight="1" x14ac:dyDescent="0.2">
      <c r="A95" s="9"/>
      <c r="B95" s="12" t="s">
        <v>169</v>
      </c>
      <c r="C95" s="13">
        <v>477.38</v>
      </c>
      <c r="D95" s="13">
        <v>477.38</v>
      </c>
      <c r="E95" s="13">
        <v>477.38</v>
      </c>
      <c r="F95" s="13">
        <v>477.68</v>
      </c>
      <c r="G95" s="13">
        <v>477.68</v>
      </c>
      <c r="H95" s="13">
        <v>477.68</v>
      </c>
      <c r="I95" s="13">
        <v>478.45</v>
      </c>
      <c r="J95" s="13">
        <v>478.45</v>
      </c>
      <c r="K95" s="13">
        <v>478.45</v>
      </c>
      <c r="L95" s="13">
        <v>477.31</v>
      </c>
      <c r="M95" s="13">
        <v>477.31</v>
      </c>
      <c r="N95" s="13">
        <v>477.31</v>
      </c>
      <c r="O95" s="13">
        <v>477.53</v>
      </c>
      <c r="P95" s="13">
        <v>477.53</v>
      </c>
      <c r="Q95" s="13">
        <v>477.53</v>
      </c>
      <c r="R95" s="13">
        <v>481.59</v>
      </c>
      <c r="S95" s="13">
        <v>471.52</v>
      </c>
      <c r="T95" s="13">
        <v>471.52</v>
      </c>
      <c r="U95" s="9"/>
      <c r="V95" s="9"/>
      <c r="W95" s="9"/>
      <c r="X95" s="9"/>
      <c r="Y95" s="9"/>
    </row>
    <row r="96" spans="1:25" ht="10.5" customHeight="1" x14ac:dyDescent="0.2">
      <c r="A96" s="9"/>
      <c r="B96" s="12" t="s">
        <v>170</v>
      </c>
      <c r="C96" s="13">
        <v>3374.4</v>
      </c>
      <c r="D96" s="13">
        <v>401.15</v>
      </c>
      <c r="E96" s="13">
        <v>975.2</v>
      </c>
      <c r="F96" s="13">
        <v>4162.18</v>
      </c>
      <c r="G96" s="13">
        <v>5851.61</v>
      </c>
      <c r="H96" s="13">
        <v>15937.2</v>
      </c>
      <c r="I96" s="13">
        <v>5614.12</v>
      </c>
      <c r="J96" s="13">
        <v>1368.98</v>
      </c>
      <c r="K96" s="13">
        <v>2417.94</v>
      </c>
      <c r="L96" s="13">
        <v>2612.09</v>
      </c>
      <c r="M96" s="13">
        <v>7391.81</v>
      </c>
      <c r="N96" s="13">
        <v>5120.3</v>
      </c>
      <c r="O96" s="13">
        <v>5757.72</v>
      </c>
      <c r="P96" s="13">
        <v>3354.63</v>
      </c>
      <c r="Q96" s="13">
        <v>2996.61</v>
      </c>
      <c r="R96" s="13">
        <v>3817.83</v>
      </c>
      <c r="S96" s="13">
        <v>15501.91</v>
      </c>
      <c r="T96" s="13">
        <v>16337.98</v>
      </c>
      <c r="U96" s="9"/>
      <c r="V96" s="9"/>
      <c r="W96" s="9"/>
      <c r="X96" s="9"/>
      <c r="Y96" s="9"/>
    </row>
    <row r="97" spans="1:25" ht="10.5" customHeight="1" x14ac:dyDescent="0.2">
      <c r="A97" s="9"/>
      <c r="B97" s="12" t="s">
        <v>173</v>
      </c>
      <c r="C97" s="13">
        <v>1800</v>
      </c>
      <c r="D97" s="13">
        <v>10800</v>
      </c>
      <c r="E97" s="13">
        <v>9000</v>
      </c>
      <c r="F97" s="13">
        <v>12600</v>
      </c>
      <c r="G97" s="13">
        <v>7200</v>
      </c>
      <c r="H97" s="13">
        <v>9000</v>
      </c>
      <c r="I97" s="13">
        <v>2000</v>
      </c>
      <c r="J97" s="13">
        <v>1000</v>
      </c>
      <c r="K97" s="13">
        <v>5000</v>
      </c>
      <c r="L97" s="13">
        <v>2000</v>
      </c>
      <c r="M97" s="13">
        <v>5000</v>
      </c>
      <c r="N97" s="13">
        <v>4000</v>
      </c>
      <c r="O97" s="13">
        <v>4000</v>
      </c>
      <c r="P97" s="13">
        <v>0</v>
      </c>
      <c r="Q97" s="13">
        <v>2000</v>
      </c>
      <c r="R97" s="13">
        <v>1000</v>
      </c>
      <c r="S97" s="13">
        <v>6000</v>
      </c>
      <c r="T97" s="13">
        <v>0</v>
      </c>
      <c r="U97" s="9"/>
      <c r="V97" s="9"/>
      <c r="W97" s="9"/>
      <c r="X97" s="9"/>
      <c r="Y97" s="9"/>
    </row>
    <row r="98" spans="1:25" ht="10.5" customHeight="1" x14ac:dyDescent="0.2">
      <c r="A98" s="9"/>
      <c r="B98" s="12" t="s">
        <v>174</v>
      </c>
      <c r="C98" s="13">
        <v>301.76</v>
      </c>
      <c r="D98" s="13">
        <v>285.88</v>
      </c>
      <c r="E98" s="13">
        <v>287.77999999999997</v>
      </c>
      <c r="F98" s="13">
        <v>301.22000000000003</v>
      </c>
      <c r="G98" s="13">
        <v>328.77</v>
      </c>
      <c r="H98" s="13">
        <v>339.32</v>
      </c>
      <c r="I98" s="13">
        <v>395.94</v>
      </c>
      <c r="J98" s="13">
        <v>417</v>
      </c>
      <c r="K98" s="13">
        <v>392.31</v>
      </c>
      <c r="L98" s="13">
        <v>423.89</v>
      </c>
      <c r="M98" s="13">
        <v>406.45</v>
      </c>
      <c r="N98" s="13">
        <v>440.76</v>
      </c>
      <c r="O98" s="13">
        <v>446.67</v>
      </c>
      <c r="P98" s="13">
        <v>450.99</v>
      </c>
      <c r="Q98" s="13">
        <v>217.6</v>
      </c>
      <c r="R98" s="13">
        <v>655.73</v>
      </c>
      <c r="S98" s="13">
        <v>418.49</v>
      </c>
      <c r="T98" s="13">
        <v>0</v>
      </c>
      <c r="U98" s="9"/>
      <c r="V98" s="9"/>
      <c r="W98" s="9"/>
      <c r="X98" s="9"/>
      <c r="Y98" s="9"/>
    </row>
    <row r="99" spans="1:25" ht="10.5" customHeight="1" x14ac:dyDescent="0.2">
      <c r="A99" s="9"/>
      <c r="B99" s="12" t="s">
        <v>176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334660.53000000003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9"/>
      <c r="V99" s="9"/>
      <c r="W99" s="9"/>
      <c r="X99" s="9"/>
      <c r="Y99" s="9"/>
    </row>
    <row r="100" spans="1:25" ht="10.5" customHeight="1" x14ac:dyDescent="0.2">
      <c r="A100" s="9"/>
      <c r="B100" s="12" t="s">
        <v>177</v>
      </c>
      <c r="C100" s="13">
        <v>16701.52</v>
      </c>
      <c r="D100" s="13">
        <v>15127.44</v>
      </c>
      <c r="E100" s="13">
        <v>22407.15</v>
      </c>
      <c r="F100" s="13">
        <v>14168.44</v>
      </c>
      <c r="G100" s="13">
        <v>11659.06</v>
      </c>
      <c r="H100" s="13">
        <v>5550.02</v>
      </c>
      <c r="I100" s="13">
        <v>3757.91</v>
      </c>
      <c r="J100" s="13">
        <v>10133.57</v>
      </c>
      <c r="K100" s="13">
        <v>18163.63</v>
      </c>
      <c r="L100" s="13">
        <v>20129.93</v>
      </c>
      <c r="M100" s="13">
        <v>9473.85</v>
      </c>
      <c r="N100" s="13">
        <v>7477.84</v>
      </c>
      <c r="O100" s="13">
        <v>8380.8700000000008</v>
      </c>
      <c r="P100" s="13">
        <v>5481.56</v>
      </c>
      <c r="Q100" s="13">
        <v>9804.91</v>
      </c>
      <c r="R100" s="13">
        <v>24482.18</v>
      </c>
      <c r="S100" s="13">
        <v>4572.76</v>
      </c>
      <c r="T100" s="13">
        <v>3435.8</v>
      </c>
      <c r="U100" s="9"/>
      <c r="V100" s="9"/>
      <c r="W100" s="9"/>
      <c r="X100" s="9"/>
      <c r="Y100" s="9"/>
    </row>
    <row r="101" spans="1:25" ht="10.5" customHeight="1" x14ac:dyDescent="0.2">
      <c r="A101" s="9"/>
      <c r="B101" s="12" t="s">
        <v>179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-1244429.8400000001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9"/>
      <c r="V101" s="9"/>
      <c r="W101" s="9"/>
      <c r="X101" s="9"/>
      <c r="Y101" s="9"/>
    </row>
    <row r="102" spans="1:25" ht="10.5" customHeight="1" x14ac:dyDescent="0.2">
      <c r="A102" s="9"/>
      <c r="B102" s="12" t="s">
        <v>181</v>
      </c>
      <c r="C102" s="13">
        <v>1206.57</v>
      </c>
      <c r="D102" s="13">
        <v>861.43</v>
      </c>
      <c r="E102" s="13">
        <v>593.08000000000004</v>
      </c>
      <c r="F102" s="13">
        <v>85.82</v>
      </c>
      <c r="G102" s="13">
        <v>217.75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9"/>
      <c r="V102" s="9"/>
      <c r="W102" s="9"/>
      <c r="X102" s="9"/>
      <c r="Y102" s="9"/>
    </row>
    <row r="103" spans="1:25" ht="10.5" customHeight="1" x14ac:dyDescent="0.2">
      <c r="A103" s="14" t="s">
        <v>183</v>
      </c>
      <c r="B103" s="9"/>
      <c r="C103" s="15">
        <f t="shared" ref="C103:T103" si="5">(SUM(C29:C46,C72:C102) + (C59 + C71))</f>
        <v>468181.79999999993</v>
      </c>
      <c r="D103" s="15">
        <f t="shared" si="5"/>
        <v>478781.03</v>
      </c>
      <c r="E103" s="15">
        <f t="shared" si="5"/>
        <v>465742.99000000011</v>
      </c>
      <c r="F103" s="15">
        <f t="shared" si="5"/>
        <v>421605.3</v>
      </c>
      <c r="G103" s="15">
        <f t="shared" si="5"/>
        <v>500504.05</v>
      </c>
      <c r="H103" s="15">
        <f t="shared" si="5"/>
        <v>487711.23</v>
      </c>
      <c r="I103" s="15">
        <f t="shared" si="5"/>
        <v>-402142.09000000008</v>
      </c>
      <c r="J103" s="15">
        <f t="shared" si="5"/>
        <v>420263.04000000004</v>
      </c>
      <c r="K103" s="15">
        <f t="shared" si="5"/>
        <v>479083.77999999997</v>
      </c>
      <c r="L103" s="15">
        <f t="shared" si="5"/>
        <v>483844.86</v>
      </c>
      <c r="M103" s="15">
        <f t="shared" si="5"/>
        <v>431306.58999999997</v>
      </c>
      <c r="N103" s="15">
        <f t="shared" si="5"/>
        <v>455324.92000000004</v>
      </c>
      <c r="O103" s="15">
        <f t="shared" si="5"/>
        <v>497871.95999999996</v>
      </c>
      <c r="P103" s="15">
        <f t="shared" si="5"/>
        <v>473844.15999999992</v>
      </c>
      <c r="Q103" s="15">
        <f t="shared" si="5"/>
        <v>495053.55999999994</v>
      </c>
      <c r="R103" s="15">
        <f t="shared" si="5"/>
        <v>533111.67999999993</v>
      </c>
      <c r="S103" s="15">
        <f t="shared" si="5"/>
        <v>555578.55000000005</v>
      </c>
      <c r="T103" s="15">
        <f t="shared" si="5"/>
        <v>513541.99000000005</v>
      </c>
      <c r="U103" s="9"/>
      <c r="V103" s="9"/>
      <c r="W103" s="9"/>
      <c r="X103" s="9"/>
      <c r="Y103" s="9"/>
    </row>
    <row r="104" spans="1:25" ht="12.75" customHeight="1" x14ac:dyDescent="0.2"/>
    <row r="105" spans="1:25" ht="10.5" customHeight="1" x14ac:dyDescent="0.2">
      <c r="A105" s="9"/>
      <c r="B105" s="17" t="s">
        <v>189</v>
      </c>
      <c r="C105" s="18">
        <f t="shared" ref="C105:T105" si="6">(C26 - C103)</f>
        <v>-330756.07999999996</v>
      </c>
      <c r="D105" s="18">
        <f t="shared" si="6"/>
        <v>-339099.60000000003</v>
      </c>
      <c r="E105" s="18">
        <f t="shared" si="6"/>
        <v>-321175.85000000009</v>
      </c>
      <c r="F105" s="18">
        <f t="shared" si="6"/>
        <v>-275994.09999999998</v>
      </c>
      <c r="G105" s="18">
        <f t="shared" si="6"/>
        <v>-376578.43</v>
      </c>
      <c r="H105" s="18">
        <f t="shared" si="6"/>
        <v>-344312.38</v>
      </c>
      <c r="I105" s="18">
        <f t="shared" si="6"/>
        <v>534551.41000000015</v>
      </c>
      <c r="J105" s="18">
        <f t="shared" si="6"/>
        <v>-286910.04000000004</v>
      </c>
      <c r="K105" s="18">
        <f t="shared" si="6"/>
        <v>-346394.22</v>
      </c>
      <c r="L105" s="18">
        <f t="shared" si="6"/>
        <v>-360351.44999999995</v>
      </c>
      <c r="M105" s="18">
        <f t="shared" si="6"/>
        <v>-316771.88999999996</v>
      </c>
      <c r="N105" s="18">
        <f t="shared" si="6"/>
        <v>-325986.96000000008</v>
      </c>
      <c r="O105" s="18">
        <f t="shared" si="6"/>
        <v>-356246.22</v>
      </c>
      <c r="P105" s="18">
        <f t="shared" si="6"/>
        <v>-354652.30999999994</v>
      </c>
      <c r="Q105" s="18">
        <f t="shared" si="6"/>
        <v>-390468.23999999993</v>
      </c>
      <c r="R105" s="18">
        <f t="shared" si="6"/>
        <v>-412560.36999999994</v>
      </c>
      <c r="S105" s="18">
        <f t="shared" si="6"/>
        <v>-416403.65</v>
      </c>
      <c r="T105" s="18">
        <f t="shared" si="6"/>
        <v>-382905.03</v>
      </c>
      <c r="U105" s="9"/>
      <c r="V105" s="9"/>
      <c r="W105" s="9"/>
      <c r="X105" s="9"/>
      <c r="Y105" s="9"/>
    </row>
    <row r="106" spans="1:25" ht="12.75" customHeight="1" x14ac:dyDescent="0.2"/>
    <row r="107" spans="1:25" ht="10.5" customHeight="1" x14ac:dyDescent="0.2">
      <c r="A107" s="9"/>
      <c r="B107" s="17" t="s">
        <v>191</v>
      </c>
      <c r="C107" s="18">
        <f t="shared" ref="C107:T107" si="7">(C105 + 0)</f>
        <v>-330756.07999999996</v>
      </c>
      <c r="D107" s="18">
        <f t="shared" si="7"/>
        <v>-339099.60000000003</v>
      </c>
      <c r="E107" s="18">
        <f t="shared" si="7"/>
        <v>-321175.85000000009</v>
      </c>
      <c r="F107" s="18">
        <f t="shared" si="7"/>
        <v>-275994.09999999998</v>
      </c>
      <c r="G107" s="18">
        <f t="shared" si="7"/>
        <v>-376578.43</v>
      </c>
      <c r="H107" s="18">
        <f t="shared" si="7"/>
        <v>-344312.38</v>
      </c>
      <c r="I107" s="18">
        <f t="shared" si="7"/>
        <v>534551.41000000015</v>
      </c>
      <c r="J107" s="18">
        <f t="shared" si="7"/>
        <v>-286910.04000000004</v>
      </c>
      <c r="K107" s="18">
        <f t="shared" si="7"/>
        <v>-346394.22</v>
      </c>
      <c r="L107" s="18">
        <f t="shared" si="7"/>
        <v>-360351.44999999995</v>
      </c>
      <c r="M107" s="18">
        <f t="shared" si="7"/>
        <v>-316771.88999999996</v>
      </c>
      <c r="N107" s="18">
        <f t="shared" si="7"/>
        <v>-325986.96000000008</v>
      </c>
      <c r="O107" s="18">
        <f t="shared" si="7"/>
        <v>-356246.22</v>
      </c>
      <c r="P107" s="18">
        <f t="shared" si="7"/>
        <v>-354652.30999999994</v>
      </c>
      <c r="Q107" s="18">
        <f t="shared" si="7"/>
        <v>-390468.23999999993</v>
      </c>
      <c r="R107" s="18">
        <f t="shared" si="7"/>
        <v>-412560.36999999994</v>
      </c>
      <c r="S107" s="18">
        <f t="shared" si="7"/>
        <v>-416403.65</v>
      </c>
      <c r="T107" s="18">
        <f t="shared" si="7"/>
        <v>-382905.03</v>
      </c>
      <c r="U107" s="9"/>
      <c r="V107" s="9"/>
      <c r="W107" s="9"/>
      <c r="X107" s="9"/>
      <c r="Y107" s="9"/>
    </row>
    <row r="108" spans="1:25" ht="12.75" customHeight="1" x14ac:dyDescent="0.2"/>
    <row r="109" spans="1:25" ht="12.75" customHeight="1" x14ac:dyDescent="0.2"/>
    <row r="110" spans="1:25" ht="12.75" customHeight="1" x14ac:dyDescent="0.2"/>
    <row r="111" spans="1:25" ht="12.75" customHeight="1" x14ac:dyDescent="0.2"/>
    <row r="112" spans="1:25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C15" sqref="C15"/>
    </sheetView>
  </sheetViews>
  <sheetFormatPr defaultColWidth="14.375" defaultRowHeight="15" customHeight="1" x14ac:dyDescent="0.2"/>
  <cols>
    <col min="1" max="2" width="1.375" customWidth="1"/>
    <col min="3" max="3" width="51.875" customWidth="1"/>
    <col min="4" max="9" width="15.25" customWidth="1"/>
    <col min="10" max="16" width="14.25" customWidth="1"/>
    <col min="17" max="17" width="14.75" customWidth="1"/>
    <col min="18" max="18" width="14.25" customWidth="1"/>
    <col min="19" max="19" width="14.375" customWidth="1"/>
    <col min="20" max="21" width="14.25" customWidth="1"/>
    <col min="22" max="26" width="8.75" customWidth="1"/>
  </cols>
  <sheetData>
    <row r="1" spans="1:26" ht="16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spans="1:26" ht="14.25" customHeight="1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  <c r="Y2" s="4"/>
      <c r="Z2" s="4"/>
    </row>
    <row r="3" spans="1:26" ht="14.25" customHeight="1" x14ac:dyDescent="0.25">
      <c r="A3" s="3" t="s">
        <v>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4"/>
      <c r="X3" s="4"/>
      <c r="Y3" s="4"/>
      <c r="Z3" s="4"/>
    </row>
    <row r="4" spans="1:26" ht="12.75" customHeight="1" x14ac:dyDescent="0.2"/>
    <row r="5" spans="1:26" ht="12" customHeight="1" x14ac:dyDescent="0.25">
      <c r="A5" s="5"/>
      <c r="B5" s="5"/>
      <c r="C5" s="6" t="s">
        <v>4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34</v>
      </c>
      <c r="K5" s="7" t="s">
        <v>36</v>
      </c>
      <c r="L5" s="7" t="s">
        <v>37</v>
      </c>
      <c r="M5" s="7" t="s">
        <v>38</v>
      </c>
      <c r="N5" s="7" t="s">
        <v>39</v>
      </c>
      <c r="O5" s="7" t="s">
        <v>40</v>
      </c>
      <c r="P5" s="7" t="s">
        <v>42</v>
      </c>
      <c r="Q5" s="7" t="s">
        <v>43</v>
      </c>
      <c r="R5" s="7" t="s">
        <v>44</v>
      </c>
      <c r="S5" s="7" t="s">
        <v>45</v>
      </c>
      <c r="T5" s="7" t="s">
        <v>46</v>
      </c>
      <c r="U5" s="7" t="s">
        <v>48</v>
      </c>
      <c r="V5" s="8"/>
      <c r="W5" s="8"/>
      <c r="X5" s="8"/>
      <c r="Y5" s="8"/>
      <c r="Z5" s="8"/>
    </row>
    <row r="6" spans="1:26" ht="12.75" customHeight="1" x14ac:dyDescent="0.2"/>
    <row r="7" spans="1:26" ht="12" customHeight="1" x14ac:dyDescent="0.25">
      <c r="A7" s="5" t="s">
        <v>49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8"/>
      <c r="W7" s="8"/>
      <c r="X7" s="8"/>
      <c r="Y7" s="8"/>
      <c r="Z7" s="8"/>
    </row>
    <row r="8" spans="1:26" ht="10.5" customHeight="1" x14ac:dyDescent="0.2">
      <c r="A8" s="16"/>
      <c r="B8" s="16" t="s">
        <v>50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9"/>
      <c r="W8" s="9"/>
      <c r="X8" s="9"/>
      <c r="Y8" s="9"/>
      <c r="Z8" s="9"/>
    </row>
    <row r="9" spans="1:26" ht="10.5" customHeight="1" x14ac:dyDescent="0.2">
      <c r="A9" s="16"/>
      <c r="B9" s="16"/>
      <c r="C9" s="16" t="s">
        <v>51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9"/>
      <c r="W9" s="9"/>
      <c r="X9" s="9"/>
      <c r="Y9" s="9"/>
      <c r="Z9" s="9"/>
    </row>
    <row r="10" spans="1:26" ht="10.5" customHeight="1" x14ac:dyDescent="0.2">
      <c r="A10" s="9"/>
      <c r="B10" s="9"/>
      <c r="C10" s="12" t="s">
        <v>195</v>
      </c>
      <c r="D10" s="13">
        <v>93543.45</v>
      </c>
      <c r="E10" s="13">
        <v>274024.57</v>
      </c>
      <c r="F10" s="13">
        <v>198764.45</v>
      </c>
      <c r="G10" s="13">
        <v>421857.81</v>
      </c>
      <c r="H10" s="13">
        <v>231953.16</v>
      </c>
      <c r="I10" s="13">
        <v>219771.73</v>
      </c>
      <c r="J10" s="13">
        <v>193531.41</v>
      </c>
      <c r="K10" s="13">
        <v>378577.01</v>
      </c>
      <c r="L10" s="13">
        <v>154760.35999999999</v>
      </c>
      <c r="M10" s="13">
        <v>285367.31</v>
      </c>
      <c r="N10" s="13">
        <v>201668.61</v>
      </c>
      <c r="O10" s="13">
        <v>337453.22</v>
      </c>
      <c r="P10" s="13">
        <v>321389.03999999998</v>
      </c>
      <c r="Q10" s="13">
        <v>392639.96</v>
      </c>
      <c r="R10" s="13">
        <v>135722.35</v>
      </c>
      <c r="S10" s="13">
        <v>199250.87</v>
      </c>
      <c r="T10" s="13">
        <v>768882.86</v>
      </c>
      <c r="U10" s="13">
        <v>1296048.75</v>
      </c>
      <c r="V10" s="9"/>
      <c r="W10" s="9"/>
      <c r="X10" s="9"/>
      <c r="Y10" s="9"/>
      <c r="Z10" s="9"/>
    </row>
    <row r="11" spans="1:26" ht="10.5" customHeight="1" x14ac:dyDescent="0.2">
      <c r="A11" s="9"/>
      <c r="B11" s="9"/>
      <c r="C11" s="12" t="s">
        <v>196</v>
      </c>
      <c r="D11" s="13">
        <v>17712.509999999998</v>
      </c>
      <c r="E11" s="13">
        <v>17671.12</v>
      </c>
      <c r="F11" s="13">
        <v>17628.45</v>
      </c>
      <c r="G11" s="13">
        <v>17587.25</v>
      </c>
      <c r="H11" s="13">
        <v>17544.78</v>
      </c>
      <c r="I11" s="13">
        <v>17506.509999999998</v>
      </c>
      <c r="J11" s="13">
        <v>17464.240000000002</v>
      </c>
      <c r="K11" s="13">
        <v>17420.88</v>
      </c>
      <c r="L11" s="13">
        <v>17376.61</v>
      </c>
      <c r="M11" s="13">
        <v>17327.55</v>
      </c>
      <c r="N11" s="13">
        <v>17277.96</v>
      </c>
      <c r="O11" s="13">
        <v>17225.29</v>
      </c>
      <c r="P11" s="13">
        <v>17172.78</v>
      </c>
      <c r="Q11" s="13">
        <v>17122.12</v>
      </c>
      <c r="R11" s="13">
        <v>17069.93</v>
      </c>
      <c r="S11" s="13">
        <v>5089073.7699999996</v>
      </c>
      <c r="T11" s="13">
        <v>5073561.1900000004</v>
      </c>
      <c r="U11" s="13">
        <v>5059638.33</v>
      </c>
      <c r="V11" s="9"/>
      <c r="W11" s="9"/>
      <c r="X11" s="9"/>
      <c r="Y11" s="9"/>
      <c r="Z11" s="9"/>
    </row>
    <row r="12" spans="1:26" ht="10.5" customHeight="1" x14ac:dyDescent="0.2">
      <c r="A12" s="9"/>
      <c r="B12" s="9"/>
      <c r="C12" s="12" t="s">
        <v>197</v>
      </c>
      <c r="D12" s="13">
        <v>52571.83</v>
      </c>
      <c r="E12" s="13">
        <v>52448.97</v>
      </c>
      <c r="F12" s="13">
        <v>52322.32</v>
      </c>
      <c r="G12" s="13">
        <v>52200.04</v>
      </c>
      <c r="H12" s="13">
        <v>52073.99</v>
      </c>
      <c r="I12" s="13">
        <v>51960.39</v>
      </c>
      <c r="J12" s="13">
        <v>51834.92</v>
      </c>
      <c r="K12" s="13">
        <v>51706.22</v>
      </c>
      <c r="L12" s="13">
        <v>51574.81</v>
      </c>
      <c r="M12" s="13">
        <v>51429.19</v>
      </c>
      <c r="N12" s="13">
        <v>51282.02</v>
      </c>
      <c r="O12" s="13">
        <v>51125.7</v>
      </c>
      <c r="P12" s="13">
        <v>50969.86</v>
      </c>
      <c r="Q12" s="13">
        <v>50819.49</v>
      </c>
      <c r="R12" s="13">
        <v>50664.58</v>
      </c>
      <c r="S12" s="13">
        <v>50515.11</v>
      </c>
      <c r="T12" s="13">
        <v>50361.13</v>
      </c>
      <c r="U12" s="13">
        <v>50222.43</v>
      </c>
      <c r="V12" s="9"/>
      <c r="W12" s="9"/>
      <c r="X12" s="9"/>
      <c r="Y12" s="9"/>
      <c r="Z12" s="9"/>
    </row>
    <row r="13" spans="1:26" ht="10.5" customHeight="1" x14ac:dyDescent="0.2">
      <c r="A13" s="9"/>
      <c r="B13" s="9"/>
      <c r="C13" s="12" t="s">
        <v>198</v>
      </c>
      <c r="D13" s="13">
        <v>299653.46999999997</v>
      </c>
      <c r="E13" s="13">
        <v>334879.93</v>
      </c>
      <c r="F13" s="13">
        <v>514352.22</v>
      </c>
      <c r="G13" s="13">
        <v>598436.43000000005</v>
      </c>
      <c r="H13" s="13">
        <v>1013730.18</v>
      </c>
      <c r="I13" s="13">
        <v>1499633.84</v>
      </c>
      <c r="J13" s="13">
        <v>2072486.73</v>
      </c>
      <c r="K13" s="13">
        <v>2296687.4300000002</v>
      </c>
      <c r="L13" s="13">
        <v>2467926.73</v>
      </c>
      <c r="M13" s="13">
        <v>2698375.82</v>
      </c>
      <c r="N13" s="13">
        <v>3180907.82</v>
      </c>
      <c r="O13" s="13">
        <v>3267028.08</v>
      </c>
      <c r="P13" s="13">
        <v>3738723.45</v>
      </c>
      <c r="Q13" s="13">
        <v>4120745.72</v>
      </c>
      <c r="R13" s="13">
        <v>4606656.38</v>
      </c>
      <c r="S13" s="13">
        <v>0</v>
      </c>
      <c r="T13" s="13">
        <v>0</v>
      </c>
      <c r="U13" s="13">
        <v>0</v>
      </c>
      <c r="V13" s="9"/>
      <c r="W13" s="9"/>
      <c r="X13" s="9"/>
      <c r="Y13" s="9"/>
      <c r="Z13" s="9"/>
    </row>
    <row r="14" spans="1:26" ht="10.5" customHeight="1" x14ac:dyDescent="0.2">
      <c r="A14" s="9"/>
      <c r="B14" s="9"/>
      <c r="C14" s="12" t="s">
        <v>199</v>
      </c>
      <c r="D14" s="13">
        <v>250000</v>
      </c>
      <c r="E14" s="13">
        <v>250000</v>
      </c>
      <c r="F14" s="13">
        <v>250000</v>
      </c>
      <c r="G14" s="13">
        <v>252369.59</v>
      </c>
      <c r="H14" s="13">
        <v>250000</v>
      </c>
      <c r="I14" s="13">
        <v>250000</v>
      </c>
      <c r="J14" s="13">
        <v>250000</v>
      </c>
      <c r="K14" s="13">
        <v>250000</v>
      </c>
      <c r="L14" s="13">
        <v>250000</v>
      </c>
      <c r="M14" s="13">
        <v>250000</v>
      </c>
      <c r="N14" s="13">
        <v>250000</v>
      </c>
      <c r="O14" s="13">
        <v>250607.48</v>
      </c>
      <c r="P14" s="13">
        <v>250000</v>
      </c>
      <c r="Q14" s="13">
        <v>250000</v>
      </c>
      <c r="R14" s="13">
        <v>250000</v>
      </c>
      <c r="S14" s="13">
        <v>0</v>
      </c>
      <c r="T14" s="13">
        <v>0</v>
      </c>
      <c r="U14" s="13">
        <v>0</v>
      </c>
      <c r="V14" s="9"/>
      <c r="W14" s="9"/>
      <c r="X14" s="9"/>
      <c r="Y14" s="9"/>
      <c r="Z14" s="9"/>
    </row>
    <row r="15" spans="1:26" ht="10.5" customHeight="1" x14ac:dyDescent="0.2">
      <c r="A15" s="9"/>
      <c r="B15" s="9"/>
      <c r="C15" s="14" t="s">
        <v>62</v>
      </c>
      <c r="D15" s="15">
        <f t="shared" ref="D15:U15" si="0">SUM(D10:D14)</f>
        <v>713481.26</v>
      </c>
      <c r="E15" s="15">
        <f t="shared" si="0"/>
        <v>929024.59000000008</v>
      </c>
      <c r="F15" s="15">
        <f t="shared" si="0"/>
        <v>1033067.44</v>
      </c>
      <c r="G15" s="15">
        <f t="shared" si="0"/>
        <v>1342451.12</v>
      </c>
      <c r="H15" s="15">
        <f t="shared" si="0"/>
        <v>1565302.11</v>
      </c>
      <c r="I15" s="15">
        <f t="shared" si="0"/>
        <v>2038872.4700000002</v>
      </c>
      <c r="J15" s="15">
        <f t="shared" si="0"/>
        <v>2585317.2999999998</v>
      </c>
      <c r="K15" s="15">
        <f t="shared" si="0"/>
        <v>2994391.54</v>
      </c>
      <c r="L15" s="15">
        <f t="shared" si="0"/>
        <v>2941638.51</v>
      </c>
      <c r="M15" s="15">
        <f t="shared" si="0"/>
        <v>3302499.8699999996</v>
      </c>
      <c r="N15" s="15">
        <f t="shared" si="0"/>
        <v>3701136.4099999997</v>
      </c>
      <c r="O15" s="15">
        <f t="shared" si="0"/>
        <v>3923439.77</v>
      </c>
      <c r="P15" s="15">
        <f t="shared" si="0"/>
        <v>4378255.13</v>
      </c>
      <c r="Q15" s="15">
        <f t="shared" si="0"/>
        <v>4831327.29</v>
      </c>
      <c r="R15" s="15">
        <f t="shared" si="0"/>
        <v>5060113.24</v>
      </c>
      <c r="S15" s="15">
        <f t="shared" si="0"/>
        <v>5338839.75</v>
      </c>
      <c r="T15" s="15">
        <f t="shared" si="0"/>
        <v>5892805.1800000006</v>
      </c>
      <c r="U15" s="15">
        <f t="shared" si="0"/>
        <v>6405909.5099999998</v>
      </c>
      <c r="V15" s="9"/>
      <c r="W15" s="9"/>
      <c r="X15" s="9"/>
      <c r="Y15" s="9"/>
      <c r="Z15" s="9"/>
    </row>
    <row r="16" spans="1:26" ht="10.5" customHeight="1" x14ac:dyDescent="0.2">
      <c r="A16" s="9"/>
      <c r="B16" s="9"/>
      <c r="C16" s="12" t="s">
        <v>64</v>
      </c>
      <c r="D16" s="13">
        <v>602717.35</v>
      </c>
      <c r="E16" s="13">
        <v>408167.29</v>
      </c>
      <c r="F16" s="13">
        <v>665324.46</v>
      </c>
      <c r="G16" s="13">
        <v>627192.21</v>
      </c>
      <c r="H16" s="13">
        <v>723709.64</v>
      </c>
      <c r="I16" s="13">
        <v>456307.39</v>
      </c>
      <c r="J16" s="13">
        <v>307872.73</v>
      </c>
      <c r="K16" s="13">
        <v>263040.53999999998</v>
      </c>
      <c r="L16" s="13">
        <v>613119.57999999996</v>
      </c>
      <c r="M16" s="13">
        <v>627134.53</v>
      </c>
      <c r="N16" s="13">
        <v>589094.65</v>
      </c>
      <c r="O16" s="13">
        <v>474541.56</v>
      </c>
      <c r="P16" s="13">
        <v>432105.5</v>
      </c>
      <c r="Q16" s="13">
        <v>262014.56</v>
      </c>
      <c r="R16" s="13">
        <v>342823.59</v>
      </c>
      <c r="S16" s="13">
        <v>524594.6</v>
      </c>
      <c r="T16" s="13">
        <v>573479.96</v>
      </c>
      <c r="U16" s="13">
        <v>469744.33</v>
      </c>
      <c r="V16" s="9"/>
      <c r="W16" s="9"/>
      <c r="X16" s="9"/>
      <c r="Y16" s="9"/>
      <c r="Z16" s="9"/>
    </row>
    <row r="17" spans="1:26" ht="10.5" customHeight="1" x14ac:dyDescent="0.2">
      <c r="A17" s="9"/>
      <c r="B17" s="9"/>
      <c r="C17" s="12" t="s">
        <v>67</v>
      </c>
      <c r="D17" s="13">
        <v>446.74</v>
      </c>
      <c r="E17" s="13">
        <v>19588.28</v>
      </c>
      <c r="F17" s="13">
        <v>1162.9000000000001</v>
      </c>
      <c r="G17" s="13">
        <v>4731.22</v>
      </c>
      <c r="H17" s="13">
        <v>429.9</v>
      </c>
      <c r="I17" s="13">
        <v>1404.38</v>
      </c>
      <c r="J17" s="13">
        <v>1163.9000000000001</v>
      </c>
      <c r="K17" s="13">
        <v>17503.71</v>
      </c>
      <c r="L17" s="13">
        <v>18913.900000000001</v>
      </c>
      <c r="M17" s="13">
        <v>776.5</v>
      </c>
      <c r="N17" s="13">
        <v>15748</v>
      </c>
      <c r="O17" s="13">
        <v>39290</v>
      </c>
      <c r="P17" s="13">
        <v>-1</v>
      </c>
      <c r="Q17" s="13">
        <v>4000</v>
      </c>
      <c r="R17" s="13">
        <v>100464.56</v>
      </c>
      <c r="S17" s="13">
        <v>2000</v>
      </c>
      <c r="T17" s="13">
        <v>0</v>
      </c>
      <c r="U17" s="13">
        <v>-1</v>
      </c>
      <c r="V17" s="9"/>
      <c r="W17" s="9"/>
      <c r="X17" s="9"/>
      <c r="Y17" s="9"/>
      <c r="Z17" s="9"/>
    </row>
    <row r="18" spans="1:26" ht="10.5" customHeight="1" x14ac:dyDescent="0.2">
      <c r="A18" s="9"/>
      <c r="B18" s="9"/>
      <c r="C18" s="12" t="s">
        <v>69</v>
      </c>
      <c r="D18" s="13">
        <v>8938.82</v>
      </c>
      <c r="E18" s="13">
        <v>14830.47</v>
      </c>
      <c r="F18" s="13">
        <v>7793.33</v>
      </c>
      <c r="G18" s="13">
        <v>15427.65</v>
      </c>
      <c r="H18" s="13">
        <v>17589.39</v>
      </c>
      <c r="I18" s="13">
        <v>12849.74</v>
      </c>
      <c r="J18" s="13">
        <v>7952.48</v>
      </c>
      <c r="K18" s="13">
        <v>9455.7199999999993</v>
      </c>
      <c r="L18" s="13">
        <v>30817.040000000001</v>
      </c>
      <c r="M18" s="13">
        <v>32038.45</v>
      </c>
      <c r="N18" s="13">
        <v>11195.56</v>
      </c>
      <c r="O18" s="13">
        <v>44896.79</v>
      </c>
      <c r="P18" s="13">
        <v>39643.300000000003</v>
      </c>
      <c r="Q18" s="13">
        <v>65494.82</v>
      </c>
      <c r="R18" s="13">
        <v>58069.16</v>
      </c>
      <c r="S18" s="13">
        <v>82545.84</v>
      </c>
      <c r="T18" s="13">
        <v>30417.5</v>
      </c>
      <c r="U18" s="13">
        <v>16532.5</v>
      </c>
      <c r="V18" s="9"/>
      <c r="W18" s="9"/>
      <c r="X18" s="9"/>
      <c r="Y18" s="9"/>
      <c r="Z18" s="9"/>
    </row>
    <row r="19" spans="1:26" ht="10.5" customHeight="1" x14ac:dyDescent="0.2">
      <c r="A19" s="9"/>
      <c r="B19" s="9"/>
      <c r="C19" s="12" t="s">
        <v>72</v>
      </c>
      <c r="D19" s="13">
        <v>117452.2</v>
      </c>
      <c r="E19" s="13">
        <v>154046.76</v>
      </c>
      <c r="F19" s="13">
        <v>186850.59</v>
      </c>
      <c r="G19" s="13">
        <v>185896.16</v>
      </c>
      <c r="H19" s="13">
        <v>131271.64000000001</v>
      </c>
      <c r="I19" s="13">
        <v>123223.81</v>
      </c>
      <c r="J19" s="13">
        <v>136025.75</v>
      </c>
      <c r="K19" s="13">
        <v>135427.04</v>
      </c>
      <c r="L19" s="13">
        <v>112977.96</v>
      </c>
      <c r="M19" s="13">
        <v>125756.01</v>
      </c>
      <c r="N19" s="13">
        <v>134776.59</v>
      </c>
      <c r="O19" s="13">
        <v>123562.97</v>
      </c>
      <c r="P19" s="13">
        <v>127619.64</v>
      </c>
      <c r="Q19" s="13">
        <v>140387.01999999999</v>
      </c>
      <c r="R19" s="13">
        <v>157742.26</v>
      </c>
      <c r="S19" s="13">
        <v>167363.64000000001</v>
      </c>
      <c r="T19" s="13">
        <v>167886.7</v>
      </c>
      <c r="U19" s="13">
        <v>176962.32</v>
      </c>
      <c r="V19" s="9"/>
      <c r="W19" s="9"/>
      <c r="X19" s="9"/>
      <c r="Y19" s="9"/>
      <c r="Z19" s="9"/>
    </row>
    <row r="20" spans="1:26" ht="10.5" customHeight="1" x14ac:dyDescent="0.2">
      <c r="A20" s="9"/>
      <c r="B20" s="9"/>
      <c r="C20" s="12" t="s">
        <v>75</v>
      </c>
      <c r="D20" s="13">
        <v>2520</v>
      </c>
      <c r="E20" s="13">
        <v>2880</v>
      </c>
      <c r="F20" s="13">
        <v>3240</v>
      </c>
      <c r="G20" s="13">
        <v>3600</v>
      </c>
      <c r="H20" s="13">
        <v>3960</v>
      </c>
      <c r="I20" s="13">
        <v>4320</v>
      </c>
      <c r="J20" s="13">
        <v>4680</v>
      </c>
      <c r="K20" s="13">
        <v>5040</v>
      </c>
      <c r="L20" s="13">
        <v>5400</v>
      </c>
      <c r="M20" s="13">
        <v>5760</v>
      </c>
      <c r="N20" s="13">
        <v>0</v>
      </c>
      <c r="O20" s="13">
        <v>0</v>
      </c>
      <c r="P20" s="13">
        <v>360</v>
      </c>
      <c r="Q20" s="13">
        <v>720</v>
      </c>
      <c r="R20" s="13">
        <v>2160</v>
      </c>
      <c r="S20" s="13">
        <v>1440</v>
      </c>
      <c r="T20" s="13">
        <v>1800</v>
      </c>
      <c r="U20" s="13">
        <v>2160</v>
      </c>
      <c r="V20" s="9"/>
      <c r="W20" s="9"/>
      <c r="X20" s="9"/>
      <c r="Y20" s="9"/>
      <c r="Z20" s="9"/>
    </row>
    <row r="21" spans="1:26" ht="10.5" customHeight="1" x14ac:dyDescent="0.2">
      <c r="A21" s="9"/>
      <c r="B21" s="9"/>
      <c r="C21" s="12" t="s">
        <v>78</v>
      </c>
      <c r="D21" s="13">
        <v>11021.48</v>
      </c>
      <c r="E21" s="13">
        <v>3064.33</v>
      </c>
      <c r="F21" s="13">
        <v>5343.89</v>
      </c>
      <c r="G21" s="13">
        <v>6426.42</v>
      </c>
      <c r="H21" s="13">
        <v>8747.14</v>
      </c>
      <c r="I21" s="13">
        <v>9761.59</v>
      </c>
      <c r="J21" s="13">
        <v>11667.77</v>
      </c>
      <c r="K21" s="13">
        <v>9090.34</v>
      </c>
      <c r="L21" s="13">
        <v>10958.89</v>
      </c>
      <c r="M21" s="13">
        <v>12430.11</v>
      </c>
      <c r="N21" s="13">
        <v>13597.53</v>
      </c>
      <c r="O21" s="13">
        <v>17722.55</v>
      </c>
      <c r="P21" s="13">
        <v>21802.78</v>
      </c>
      <c r="Q21" s="13">
        <v>14402.17</v>
      </c>
      <c r="R21" s="13">
        <v>10232.030000000001</v>
      </c>
      <c r="S21" s="13">
        <v>15421.55</v>
      </c>
      <c r="T21" s="13">
        <v>20671.080000000002</v>
      </c>
      <c r="U21" s="13">
        <v>25385.54</v>
      </c>
      <c r="V21" s="9"/>
      <c r="W21" s="9"/>
      <c r="X21" s="9"/>
      <c r="Y21" s="9"/>
      <c r="Z21" s="9"/>
    </row>
    <row r="22" spans="1:26" ht="10.5" customHeight="1" x14ac:dyDescent="0.2">
      <c r="A22" s="9"/>
      <c r="B22" s="9"/>
      <c r="C22" s="12" t="s">
        <v>81</v>
      </c>
      <c r="D22" s="13">
        <v>9900</v>
      </c>
      <c r="E22" s="13">
        <v>9900</v>
      </c>
      <c r="F22" s="13">
        <v>9900</v>
      </c>
      <c r="G22" s="13">
        <v>9900</v>
      </c>
      <c r="H22" s="13">
        <v>9900</v>
      </c>
      <c r="I22" s="13">
        <v>9900</v>
      </c>
      <c r="J22" s="13">
        <v>9900</v>
      </c>
      <c r="K22" s="13">
        <v>9900</v>
      </c>
      <c r="L22" s="13">
        <v>9900</v>
      </c>
      <c r="M22" s="13">
        <v>9900</v>
      </c>
      <c r="N22" s="13">
        <v>9900</v>
      </c>
      <c r="O22" s="13">
        <v>9900</v>
      </c>
      <c r="P22" s="13">
        <v>9900</v>
      </c>
      <c r="Q22" s="13">
        <v>19900</v>
      </c>
      <c r="R22" s="13">
        <v>19900</v>
      </c>
      <c r="S22" s="13">
        <v>19900</v>
      </c>
      <c r="T22" s="13">
        <v>9900</v>
      </c>
      <c r="U22" s="13">
        <v>0</v>
      </c>
      <c r="V22" s="9"/>
      <c r="W22" s="9"/>
      <c r="X22" s="9"/>
      <c r="Y22" s="9"/>
      <c r="Z22" s="9"/>
    </row>
    <row r="23" spans="1:26" ht="10.5" customHeight="1" x14ac:dyDescent="0.2">
      <c r="A23" s="9"/>
      <c r="B23" s="9"/>
      <c r="C23" s="12" t="s">
        <v>84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50</v>
      </c>
      <c r="V23" s="9"/>
      <c r="W23" s="9"/>
      <c r="X23" s="9"/>
      <c r="Y23" s="9"/>
      <c r="Z23" s="9"/>
    </row>
    <row r="24" spans="1:26" ht="10.5" customHeight="1" x14ac:dyDescent="0.2">
      <c r="A24" s="9"/>
      <c r="B24" s="9"/>
      <c r="C24" s="12" t="s">
        <v>86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948.28</v>
      </c>
      <c r="K24" s="13">
        <v>2342.0300000000002</v>
      </c>
      <c r="L24" s="13">
        <v>2342.0300000000002</v>
      </c>
      <c r="M24" s="13">
        <v>0</v>
      </c>
      <c r="N24" s="13">
        <v>0</v>
      </c>
      <c r="O24" s="13">
        <v>0</v>
      </c>
      <c r="P24" s="13">
        <v>0</v>
      </c>
      <c r="Q24" s="13">
        <v>1249.97</v>
      </c>
      <c r="R24" s="13">
        <v>4628.03</v>
      </c>
      <c r="S24" s="13">
        <v>4628.03</v>
      </c>
      <c r="T24" s="13">
        <v>1250.46</v>
      </c>
      <c r="U24" s="13">
        <v>1250.46</v>
      </c>
      <c r="V24" s="9"/>
      <c r="W24" s="9"/>
      <c r="X24" s="9"/>
      <c r="Y24" s="9"/>
      <c r="Z24" s="9"/>
    </row>
    <row r="25" spans="1:26" ht="10.5" customHeight="1" x14ac:dyDescent="0.2">
      <c r="A25" s="9"/>
      <c r="B25" s="9"/>
      <c r="C25" s="12" t="s">
        <v>88</v>
      </c>
      <c r="D25" s="13">
        <v>0</v>
      </c>
      <c r="E25" s="13">
        <v>0</v>
      </c>
      <c r="F25" s="13">
        <v>-5398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9"/>
      <c r="W25" s="9"/>
      <c r="X25" s="9"/>
      <c r="Y25" s="9"/>
      <c r="Z25" s="9"/>
    </row>
    <row r="26" spans="1:26" ht="10.5" customHeight="1" x14ac:dyDescent="0.2">
      <c r="A26" s="9"/>
      <c r="B26" s="9"/>
      <c r="C26" s="12" t="s">
        <v>90</v>
      </c>
      <c r="D26" s="13">
        <v>0</v>
      </c>
      <c r="E26" s="13">
        <v>699</v>
      </c>
      <c r="F26" s="13">
        <v>6099</v>
      </c>
      <c r="G26" s="13">
        <v>10599</v>
      </c>
      <c r="H26" s="13">
        <v>8566</v>
      </c>
      <c r="I26" s="13">
        <v>3833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9"/>
      <c r="W26" s="9"/>
      <c r="X26" s="9"/>
      <c r="Y26" s="9"/>
      <c r="Z26" s="9"/>
    </row>
    <row r="27" spans="1:26" ht="10.5" customHeight="1" x14ac:dyDescent="0.2">
      <c r="A27" s="9"/>
      <c r="B27" s="14" t="s">
        <v>92</v>
      </c>
      <c r="C27" s="9"/>
      <c r="D27" s="15">
        <f t="shared" ref="D27:U27" si="1">(SUM(D16:D26) + D15)</f>
        <v>1466477.8499999999</v>
      </c>
      <c r="E27" s="15">
        <f t="shared" si="1"/>
        <v>1542200.72</v>
      </c>
      <c r="F27" s="15">
        <f t="shared" si="1"/>
        <v>1913383.6099999999</v>
      </c>
      <c r="G27" s="15">
        <f t="shared" si="1"/>
        <v>2206223.7800000003</v>
      </c>
      <c r="H27" s="15">
        <f t="shared" si="1"/>
        <v>2469475.8200000003</v>
      </c>
      <c r="I27" s="15">
        <f t="shared" si="1"/>
        <v>2660472.3800000004</v>
      </c>
      <c r="J27" s="15">
        <f t="shared" si="1"/>
        <v>3065528.21</v>
      </c>
      <c r="K27" s="15">
        <f t="shared" si="1"/>
        <v>3446190.92</v>
      </c>
      <c r="L27" s="15">
        <f t="shared" si="1"/>
        <v>3746067.9099999997</v>
      </c>
      <c r="M27" s="15">
        <f t="shared" si="1"/>
        <v>4116295.4699999997</v>
      </c>
      <c r="N27" s="15">
        <f t="shared" si="1"/>
        <v>4475448.74</v>
      </c>
      <c r="O27" s="15">
        <f t="shared" si="1"/>
        <v>4633353.6399999997</v>
      </c>
      <c r="P27" s="15">
        <f t="shared" si="1"/>
        <v>5009685.3499999996</v>
      </c>
      <c r="Q27" s="15">
        <f t="shared" si="1"/>
        <v>5339495.83</v>
      </c>
      <c r="R27" s="15">
        <f t="shared" si="1"/>
        <v>5756132.8700000001</v>
      </c>
      <c r="S27" s="15">
        <f t="shared" si="1"/>
        <v>6156733.4100000001</v>
      </c>
      <c r="T27" s="15">
        <f t="shared" si="1"/>
        <v>6698210.8800000008</v>
      </c>
      <c r="U27" s="15">
        <f t="shared" si="1"/>
        <v>7097993.6600000001</v>
      </c>
      <c r="V27" s="9"/>
      <c r="W27" s="9"/>
      <c r="X27" s="9"/>
      <c r="Y27" s="9"/>
      <c r="Z27" s="9"/>
    </row>
    <row r="28" spans="1:26" ht="10.5" customHeight="1" x14ac:dyDescent="0.2">
      <c r="A28" s="16"/>
      <c r="B28" s="16" t="s">
        <v>98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9"/>
      <c r="W28" s="9"/>
      <c r="X28" s="9"/>
      <c r="Y28" s="9"/>
      <c r="Z28" s="9"/>
    </row>
    <row r="29" spans="1:26" ht="10.5" customHeight="1" x14ac:dyDescent="0.2">
      <c r="A29" s="9"/>
      <c r="B29" s="9"/>
      <c r="C29" s="12" t="s">
        <v>100</v>
      </c>
      <c r="D29" s="13">
        <v>26460.78</v>
      </c>
      <c r="E29" s="13">
        <v>26460.78</v>
      </c>
      <c r="F29" s="13">
        <v>26460.78</v>
      </c>
      <c r="G29" s="13">
        <v>26460.78</v>
      </c>
      <c r="H29" s="13">
        <v>26460.78</v>
      </c>
      <c r="I29" s="13">
        <v>26460.78</v>
      </c>
      <c r="J29" s="13">
        <v>26460.78</v>
      </c>
      <c r="K29" s="13">
        <v>26460.78</v>
      </c>
      <c r="L29" s="13">
        <v>26460.78</v>
      </c>
      <c r="M29" s="13">
        <v>26460.78</v>
      </c>
      <c r="N29" s="13">
        <v>26460.78</v>
      </c>
      <c r="O29" s="13">
        <v>26460.78</v>
      </c>
      <c r="P29" s="13">
        <v>26460.78</v>
      </c>
      <c r="Q29" s="13">
        <v>26460.78</v>
      </c>
      <c r="R29" s="13">
        <v>26460.78</v>
      </c>
      <c r="S29" s="13">
        <v>26460.78</v>
      </c>
      <c r="T29" s="13">
        <v>23848.79</v>
      </c>
      <c r="U29" s="13">
        <v>21306.37</v>
      </c>
      <c r="V29" s="9"/>
      <c r="W29" s="9"/>
      <c r="X29" s="9"/>
      <c r="Y29" s="9"/>
      <c r="Z29" s="9"/>
    </row>
    <row r="30" spans="1:26" ht="10.5" customHeight="1" x14ac:dyDescent="0.2">
      <c r="A30" s="9"/>
      <c r="B30" s="9"/>
      <c r="C30" s="12" t="s">
        <v>102</v>
      </c>
      <c r="D30" s="13">
        <v>-13962.69</v>
      </c>
      <c r="E30" s="13">
        <v>-13521.64</v>
      </c>
      <c r="F30" s="13">
        <v>-13080.6</v>
      </c>
      <c r="G30" s="13">
        <v>-12639.56</v>
      </c>
      <c r="H30" s="13">
        <v>-12198.52</v>
      </c>
      <c r="I30" s="13">
        <v>-11757.46</v>
      </c>
      <c r="J30" s="13">
        <v>-11316.43</v>
      </c>
      <c r="K30" s="13">
        <v>-10875.38</v>
      </c>
      <c r="L30" s="13">
        <v>-10434.32</v>
      </c>
      <c r="M30" s="13">
        <v>-9993.2800000000007</v>
      </c>
      <c r="N30" s="13">
        <v>-9552.25</v>
      </c>
      <c r="O30" s="13">
        <v>-9111.2099999999991</v>
      </c>
      <c r="P30" s="13">
        <v>-8670.14</v>
      </c>
      <c r="Q30" s="13">
        <v>-8229.09</v>
      </c>
      <c r="R30" s="13">
        <v>-7788.07</v>
      </c>
      <c r="S30" s="13">
        <v>-7347.02</v>
      </c>
      <c r="T30" s="13">
        <v>-6905.96</v>
      </c>
      <c r="U30" s="13">
        <v>-6508.46</v>
      </c>
      <c r="V30" s="9"/>
      <c r="W30" s="9"/>
      <c r="X30" s="9"/>
      <c r="Y30" s="9"/>
      <c r="Z30" s="9"/>
    </row>
    <row r="31" spans="1:26" ht="10.5" customHeight="1" x14ac:dyDescent="0.2">
      <c r="A31" s="9"/>
      <c r="B31" s="9"/>
      <c r="C31" s="12" t="s">
        <v>104</v>
      </c>
      <c r="D31" s="13">
        <v>-12828.53</v>
      </c>
      <c r="E31" s="13">
        <v>-12828.53</v>
      </c>
      <c r="F31" s="13">
        <v>-12828.53</v>
      </c>
      <c r="G31" s="13">
        <v>-12828.53</v>
      </c>
      <c r="H31" s="13">
        <v>-12828.53</v>
      </c>
      <c r="I31" s="13">
        <v>-12828.53</v>
      </c>
      <c r="J31" s="13">
        <v>-12828.53</v>
      </c>
      <c r="K31" s="13">
        <v>-11759.49</v>
      </c>
      <c r="L31" s="13">
        <v>-10690.44</v>
      </c>
      <c r="M31" s="13">
        <v>-9621.4</v>
      </c>
      <c r="N31" s="13">
        <v>-8552.35</v>
      </c>
      <c r="O31" s="13">
        <v>-7483.31</v>
      </c>
      <c r="P31" s="13">
        <v>-6414.27</v>
      </c>
      <c r="Q31" s="13">
        <v>-5345.22</v>
      </c>
      <c r="R31" s="13">
        <v>-4276.18</v>
      </c>
      <c r="S31" s="13">
        <v>-3207.13</v>
      </c>
      <c r="T31" s="13">
        <v>-2138.09</v>
      </c>
      <c r="U31" s="13">
        <v>-1069.04</v>
      </c>
      <c r="V31" s="9"/>
      <c r="W31" s="9"/>
      <c r="X31" s="9"/>
      <c r="Y31" s="9"/>
      <c r="Z31" s="9"/>
    </row>
    <row r="32" spans="1:26" ht="10.5" customHeight="1" x14ac:dyDescent="0.2">
      <c r="A32" s="9"/>
      <c r="B32" s="9"/>
      <c r="C32" s="12" t="s">
        <v>106</v>
      </c>
      <c r="D32" s="13">
        <v>12828.53</v>
      </c>
      <c r="E32" s="13">
        <v>12828.53</v>
      </c>
      <c r="F32" s="13">
        <v>12828.53</v>
      </c>
      <c r="G32" s="13">
        <v>12828.53</v>
      </c>
      <c r="H32" s="13">
        <v>12828.53</v>
      </c>
      <c r="I32" s="13">
        <v>12828.53</v>
      </c>
      <c r="J32" s="13">
        <v>12828.53</v>
      </c>
      <c r="K32" s="13">
        <v>12828.53</v>
      </c>
      <c r="L32" s="13">
        <v>12828.53</v>
      </c>
      <c r="M32" s="13">
        <v>12828.53</v>
      </c>
      <c r="N32" s="13">
        <v>12828.53</v>
      </c>
      <c r="O32" s="13">
        <v>12828.53</v>
      </c>
      <c r="P32" s="13">
        <v>12828.53</v>
      </c>
      <c r="Q32" s="13">
        <v>12828.53</v>
      </c>
      <c r="R32" s="13">
        <v>12828.53</v>
      </c>
      <c r="S32" s="13">
        <v>12828.53</v>
      </c>
      <c r="T32" s="13">
        <v>12828.53</v>
      </c>
      <c r="U32" s="13">
        <v>12828.53</v>
      </c>
      <c r="V32" s="9"/>
      <c r="W32" s="9"/>
      <c r="X32" s="9"/>
      <c r="Y32" s="9"/>
      <c r="Z32" s="9"/>
    </row>
    <row r="33" spans="1:26" ht="10.5" customHeight="1" x14ac:dyDescent="0.2">
      <c r="A33" s="9"/>
      <c r="B33" s="14" t="s">
        <v>108</v>
      </c>
      <c r="C33" s="9"/>
      <c r="D33" s="15">
        <f t="shared" ref="D33:U33" si="2">SUM(D29:D32)</f>
        <v>12498.089999999998</v>
      </c>
      <c r="E33" s="15">
        <f t="shared" si="2"/>
        <v>12939.14</v>
      </c>
      <c r="F33" s="15">
        <f t="shared" si="2"/>
        <v>13380.179999999998</v>
      </c>
      <c r="G33" s="15">
        <f t="shared" si="2"/>
        <v>13821.22</v>
      </c>
      <c r="H33" s="15">
        <f t="shared" si="2"/>
        <v>14262.259999999998</v>
      </c>
      <c r="I33" s="15">
        <f t="shared" si="2"/>
        <v>14703.32</v>
      </c>
      <c r="J33" s="15">
        <f t="shared" si="2"/>
        <v>15144.349999999999</v>
      </c>
      <c r="K33" s="15">
        <f t="shared" si="2"/>
        <v>16654.440000000002</v>
      </c>
      <c r="L33" s="15">
        <f t="shared" si="2"/>
        <v>18164.55</v>
      </c>
      <c r="M33" s="15">
        <f t="shared" si="2"/>
        <v>19674.63</v>
      </c>
      <c r="N33" s="15">
        <f t="shared" si="2"/>
        <v>21184.71</v>
      </c>
      <c r="O33" s="15">
        <f t="shared" si="2"/>
        <v>22694.79</v>
      </c>
      <c r="P33" s="15">
        <f t="shared" si="2"/>
        <v>24204.9</v>
      </c>
      <c r="Q33" s="15">
        <f t="shared" si="2"/>
        <v>25715</v>
      </c>
      <c r="R33" s="15">
        <f t="shared" si="2"/>
        <v>27225.059999999998</v>
      </c>
      <c r="S33" s="15">
        <f t="shared" si="2"/>
        <v>28735.159999999996</v>
      </c>
      <c r="T33" s="15">
        <f t="shared" si="2"/>
        <v>27633.270000000004</v>
      </c>
      <c r="U33" s="15">
        <f t="shared" si="2"/>
        <v>26557.4</v>
      </c>
      <c r="V33" s="9"/>
      <c r="W33" s="9"/>
      <c r="X33" s="9"/>
      <c r="Y33" s="9"/>
      <c r="Z33" s="9"/>
    </row>
    <row r="34" spans="1:26" ht="10.5" customHeight="1" x14ac:dyDescent="0.2">
      <c r="A34" s="16"/>
      <c r="B34" s="16" t="s">
        <v>112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9"/>
      <c r="W34" s="9"/>
      <c r="X34" s="9"/>
      <c r="Y34" s="9"/>
      <c r="Z34" s="9"/>
    </row>
    <row r="35" spans="1:26" ht="10.5" customHeight="1" x14ac:dyDescent="0.2">
      <c r="A35" s="9"/>
      <c r="B35" s="9"/>
      <c r="C35" s="12" t="s">
        <v>114</v>
      </c>
      <c r="D35" s="13">
        <v>2712875.61</v>
      </c>
      <c r="E35" s="13">
        <v>2712875.61</v>
      </c>
      <c r="F35" s="13">
        <v>2712875.61</v>
      </c>
      <c r="G35" s="13">
        <v>2712875.61</v>
      </c>
      <c r="H35" s="13">
        <v>2712875.61</v>
      </c>
      <c r="I35" s="13">
        <v>2712875.61</v>
      </c>
      <c r="J35" s="13">
        <v>2712875.61</v>
      </c>
      <c r="K35" s="13">
        <v>1468445.77</v>
      </c>
      <c r="L35" s="13">
        <v>1468445.77</v>
      </c>
      <c r="M35" s="13">
        <v>1468445.77</v>
      </c>
      <c r="N35" s="13">
        <v>1468445.77</v>
      </c>
      <c r="O35" s="13">
        <v>1468445.77</v>
      </c>
      <c r="P35" s="13">
        <v>1468445.77</v>
      </c>
      <c r="Q35" s="13">
        <v>1468445.77</v>
      </c>
      <c r="R35" s="13">
        <v>1468445.77</v>
      </c>
      <c r="S35" s="13">
        <v>1468445.77</v>
      </c>
      <c r="T35" s="13">
        <v>1468445.77</v>
      </c>
      <c r="U35" s="13">
        <v>1468445.77</v>
      </c>
      <c r="V35" s="9"/>
      <c r="W35" s="9"/>
      <c r="X35" s="9"/>
      <c r="Y35" s="9"/>
      <c r="Z35" s="9"/>
    </row>
    <row r="36" spans="1:26" ht="10.5" customHeight="1" x14ac:dyDescent="0.2">
      <c r="A36" s="9"/>
      <c r="B36" s="14" t="s">
        <v>115</v>
      </c>
      <c r="C36" s="9"/>
      <c r="D36" s="15">
        <f t="shared" ref="D36:U36" si="3">D35</f>
        <v>2712875.61</v>
      </c>
      <c r="E36" s="15">
        <f t="shared" si="3"/>
        <v>2712875.61</v>
      </c>
      <c r="F36" s="15">
        <f t="shared" si="3"/>
        <v>2712875.61</v>
      </c>
      <c r="G36" s="15">
        <f t="shared" si="3"/>
        <v>2712875.61</v>
      </c>
      <c r="H36" s="15">
        <f t="shared" si="3"/>
        <v>2712875.61</v>
      </c>
      <c r="I36" s="15">
        <f t="shared" si="3"/>
        <v>2712875.61</v>
      </c>
      <c r="J36" s="15">
        <f t="shared" si="3"/>
        <v>2712875.61</v>
      </c>
      <c r="K36" s="15">
        <f t="shared" si="3"/>
        <v>1468445.77</v>
      </c>
      <c r="L36" s="15">
        <f t="shared" si="3"/>
        <v>1468445.77</v>
      </c>
      <c r="M36" s="15">
        <f t="shared" si="3"/>
        <v>1468445.77</v>
      </c>
      <c r="N36" s="15">
        <f t="shared" si="3"/>
        <v>1468445.77</v>
      </c>
      <c r="O36" s="15">
        <f t="shared" si="3"/>
        <v>1468445.77</v>
      </c>
      <c r="P36" s="15">
        <f t="shared" si="3"/>
        <v>1468445.77</v>
      </c>
      <c r="Q36" s="15">
        <f t="shared" si="3"/>
        <v>1468445.77</v>
      </c>
      <c r="R36" s="15">
        <f t="shared" si="3"/>
        <v>1468445.77</v>
      </c>
      <c r="S36" s="15">
        <f t="shared" si="3"/>
        <v>1468445.77</v>
      </c>
      <c r="T36" s="15">
        <f t="shared" si="3"/>
        <v>1468445.77</v>
      </c>
      <c r="U36" s="15">
        <f t="shared" si="3"/>
        <v>1468445.77</v>
      </c>
      <c r="V36" s="9"/>
      <c r="W36" s="9"/>
      <c r="X36" s="9"/>
      <c r="Y36" s="9"/>
      <c r="Z36" s="9"/>
    </row>
    <row r="37" spans="1:26" ht="10.5" customHeight="1" x14ac:dyDescent="0.2">
      <c r="A37" s="14" t="s">
        <v>117</v>
      </c>
      <c r="B37" s="9"/>
      <c r="C37" s="9"/>
      <c r="D37" s="15">
        <f t="shared" ref="D37:U37" si="4">(0 + ((D27 + D33) + D36))</f>
        <v>4191851.55</v>
      </c>
      <c r="E37" s="15">
        <f t="shared" si="4"/>
        <v>4268015.47</v>
      </c>
      <c r="F37" s="15">
        <f t="shared" si="4"/>
        <v>4639639.3999999994</v>
      </c>
      <c r="G37" s="15">
        <f t="shared" si="4"/>
        <v>4932920.6100000003</v>
      </c>
      <c r="H37" s="15">
        <f t="shared" si="4"/>
        <v>5196613.6899999995</v>
      </c>
      <c r="I37" s="15">
        <f t="shared" si="4"/>
        <v>5388051.3100000005</v>
      </c>
      <c r="J37" s="15">
        <f t="shared" si="4"/>
        <v>5793548.1699999999</v>
      </c>
      <c r="K37" s="15">
        <f t="shared" si="4"/>
        <v>4931291.13</v>
      </c>
      <c r="L37" s="15">
        <f t="shared" si="4"/>
        <v>5232678.2299999995</v>
      </c>
      <c r="M37" s="15">
        <f t="shared" si="4"/>
        <v>5604415.8699999992</v>
      </c>
      <c r="N37" s="15">
        <f t="shared" si="4"/>
        <v>5965079.2200000007</v>
      </c>
      <c r="O37" s="15">
        <f t="shared" si="4"/>
        <v>6124494.1999999993</v>
      </c>
      <c r="P37" s="15">
        <f t="shared" si="4"/>
        <v>6502336.0199999996</v>
      </c>
      <c r="Q37" s="15">
        <f t="shared" si="4"/>
        <v>6833656.5999999996</v>
      </c>
      <c r="R37" s="15">
        <f t="shared" si="4"/>
        <v>7251803.6999999993</v>
      </c>
      <c r="S37" s="15">
        <f t="shared" si="4"/>
        <v>7653914.3399999999</v>
      </c>
      <c r="T37" s="15">
        <f t="shared" si="4"/>
        <v>8194289.9199999999</v>
      </c>
      <c r="U37" s="15">
        <f t="shared" si="4"/>
        <v>8592996.8300000001</v>
      </c>
      <c r="V37" s="9"/>
      <c r="W37" s="9"/>
      <c r="X37" s="9"/>
      <c r="Y37" s="9"/>
      <c r="Z37" s="9"/>
    </row>
    <row r="38" spans="1:26" ht="12.75" customHeight="1" x14ac:dyDescent="0.2"/>
    <row r="39" spans="1:26" ht="12" customHeight="1" x14ac:dyDescent="0.25">
      <c r="A39" s="5" t="s">
        <v>121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8"/>
      <c r="W39" s="8"/>
      <c r="X39" s="8"/>
      <c r="Y39" s="8"/>
      <c r="Z39" s="8"/>
    </row>
    <row r="40" spans="1:26" ht="10.5" customHeight="1" x14ac:dyDescent="0.2">
      <c r="A40" s="16"/>
      <c r="B40" s="16" t="s">
        <v>124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9"/>
      <c r="W40" s="9"/>
      <c r="X40" s="9"/>
      <c r="Y40" s="9"/>
      <c r="Z40" s="9"/>
    </row>
    <row r="41" spans="1:26" ht="10.5" customHeight="1" x14ac:dyDescent="0.2">
      <c r="A41" s="16"/>
      <c r="B41" s="16"/>
      <c r="C41" s="16" t="s">
        <v>125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9"/>
      <c r="W41" s="9"/>
      <c r="X41" s="9"/>
      <c r="Y41" s="9"/>
      <c r="Z41" s="9"/>
    </row>
    <row r="42" spans="1:26" ht="10.5" customHeight="1" x14ac:dyDescent="0.2">
      <c r="A42" s="9"/>
      <c r="B42" s="9"/>
      <c r="C42" s="12" t="s">
        <v>127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-4105.92</v>
      </c>
      <c r="T42" s="13">
        <v>0</v>
      </c>
      <c r="U42" s="13">
        <v>0</v>
      </c>
      <c r="V42" s="9"/>
      <c r="W42" s="9"/>
      <c r="X42" s="9"/>
      <c r="Y42" s="9"/>
      <c r="Z42" s="9"/>
    </row>
    <row r="43" spans="1:26" ht="10.5" customHeight="1" x14ac:dyDescent="0.2">
      <c r="A43" s="9"/>
      <c r="B43" s="9"/>
      <c r="C43" s="12" t="s">
        <v>130</v>
      </c>
      <c r="D43" s="13">
        <v>13833.31</v>
      </c>
      <c r="E43" s="13">
        <v>14216.31</v>
      </c>
      <c r="F43" s="13">
        <v>6250</v>
      </c>
      <c r="G43" s="13">
        <v>34967.769999999997</v>
      </c>
      <c r="H43" s="13">
        <v>64545</v>
      </c>
      <c r="I43" s="13">
        <v>16904.75</v>
      </c>
      <c r="J43" s="13">
        <v>2720.95</v>
      </c>
      <c r="K43" s="13">
        <v>31354.06</v>
      </c>
      <c r="L43" s="13">
        <v>10703.49</v>
      </c>
      <c r="M43" s="13">
        <v>48141.19</v>
      </c>
      <c r="N43" s="13">
        <v>23923.71</v>
      </c>
      <c r="O43" s="13">
        <v>27632.959999999999</v>
      </c>
      <c r="P43" s="13">
        <v>51621.2</v>
      </c>
      <c r="Q43" s="13">
        <v>54641.74</v>
      </c>
      <c r="R43" s="13">
        <v>112560.46</v>
      </c>
      <c r="S43" s="13">
        <v>66216.3</v>
      </c>
      <c r="T43" s="13">
        <v>100792.15</v>
      </c>
      <c r="U43" s="13">
        <v>73381.62</v>
      </c>
      <c r="V43" s="9"/>
      <c r="W43" s="9"/>
      <c r="X43" s="9"/>
      <c r="Y43" s="9"/>
      <c r="Z43" s="9"/>
    </row>
    <row r="44" spans="1:26" ht="10.5" customHeight="1" x14ac:dyDescent="0.2">
      <c r="A44" s="9"/>
      <c r="B44" s="9"/>
      <c r="C44" s="12" t="s">
        <v>132</v>
      </c>
      <c r="D44" s="13">
        <v>14084.79</v>
      </c>
      <c r="E44" s="13">
        <v>0</v>
      </c>
      <c r="F44" s="13">
        <v>0</v>
      </c>
      <c r="G44" s="13">
        <v>0</v>
      </c>
      <c r="H44" s="13">
        <v>0</v>
      </c>
      <c r="I44" s="13">
        <v>1808.02</v>
      </c>
      <c r="J44" s="13">
        <v>0</v>
      </c>
      <c r="K44" s="13">
        <v>1162.68</v>
      </c>
      <c r="L44" s="13">
        <v>0</v>
      </c>
      <c r="M44" s="13">
        <v>0</v>
      </c>
      <c r="N44" s="13">
        <v>2562.92</v>
      </c>
      <c r="O44" s="13">
        <v>6068.39</v>
      </c>
      <c r="P44" s="13">
        <v>591.33000000000004</v>
      </c>
      <c r="Q44" s="13">
        <v>0</v>
      </c>
      <c r="R44" s="13">
        <v>0</v>
      </c>
      <c r="S44" s="13">
        <v>10000</v>
      </c>
      <c r="T44" s="13">
        <v>0</v>
      </c>
      <c r="U44" s="13">
        <v>27450.29</v>
      </c>
      <c r="V44" s="9"/>
      <c r="W44" s="9"/>
      <c r="X44" s="9"/>
      <c r="Y44" s="9"/>
      <c r="Z44" s="9"/>
    </row>
    <row r="45" spans="1:26" ht="10.5" customHeight="1" x14ac:dyDescent="0.2">
      <c r="A45" s="9"/>
      <c r="B45" s="9"/>
      <c r="C45" s="12" t="s">
        <v>133</v>
      </c>
      <c r="D45" s="13">
        <v>65675</v>
      </c>
      <c r="E45" s="13">
        <v>54786</v>
      </c>
      <c r="F45" s="13">
        <v>43897</v>
      </c>
      <c r="G45" s="13">
        <v>33008</v>
      </c>
      <c r="H45" s="13">
        <v>22119</v>
      </c>
      <c r="I45" s="13">
        <v>11439</v>
      </c>
      <c r="J45" s="13">
        <v>107980</v>
      </c>
      <c r="K45" s="13">
        <v>27637.47</v>
      </c>
      <c r="L45" s="13">
        <v>25124.97</v>
      </c>
      <c r="M45" s="13">
        <v>24487.47</v>
      </c>
      <c r="N45" s="13">
        <v>21766.639999999999</v>
      </c>
      <c r="O45" s="13">
        <v>19045.810000000001</v>
      </c>
      <c r="P45" s="13">
        <v>16324.98</v>
      </c>
      <c r="Q45" s="13">
        <v>13604.15</v>
      </c>
      <c r="R45" s="13">
        <v>10883.32</v>
      </c>
      <c r="S45" s="13">
        <v>8162.49</v>
      </c>
      <c r="T45" s="13">
        <v>5441.66</v>
      </c>
      <c r="U45" s="13">
        <v>13720.83</v>
      </c>
      <c r="V45" s="9"/>
      <c r="W45" s="9"/>
      <c r="X45" s="9"/>
      <c r="Y45" s="9"/>
      <c r="Z45" s="9"/>
    </row>
    <row r="46" spans="1:26" ht="10.5" customHeight="1" x14ac:dyDescent="0.2">
      <c r="A46" s="9"/>
      <c r="B46" s="9"/>
      <c r="C46" s="12" t="s">
        <v>134</v>
      </c>
      <c r="D46" s="13">
        <v>604283.16</v>
      </c>
      <c r="E46" s="13">
        <v>479115.74</v>
      </c>
      <c r="F46" s="13">
        <v>538249.06000000006</v>
      </c>
      <c r="G46" s="13">
        <v>581732.37</v>
      </c>
      <c r="H46" s="13">
        <v>554465.68999999994</v>
      </c>
      <c r="I46" s="13">
        <v>391032.35</v>
      </c>
      <c r="J46" s="13">
        <v>371399.01</v>
      </c>
      <c r="K46" s="13">
        <v>434365.66</v>
      </c>
      <c r="L46" s="13">
        <v>464665.64</v>
      </c>
      <c r="M46" s="13">
        <v>484132.3</v>
      </c>
      <c r="N46" s="13">
        <v>495098.97</v>
      </c>
      <c r="O46" s="13">
        <v>368700.03</v>
      </c>
      <c r="P46" s="13">
        <v>413783.35</v>
      </c>
      <c r="Q46" s="13">
        <v>398116.67</v>
      </c>
      <c r="R46" s="13">
        <v>403666.67</v>
      </c>
      <c r="S46" s="13">
        <v>461550</v>
      </c>
      <c r="T46" s="13">
        <v>539933.32999999996</v>
      </c>
      <c r="U46" s="13">
        <v>534879.16</v>
      </c>
      <c r="V46" s="9"/>
      <c r="W46" s="9"/>
      <c r="X46" s="9"/>
      <c r="Y46" s="9"/>
      <c r="Z46" s="9"/>
    </row>
    <row r="47" spans="1:26" ht="10.5" customHeight="1" x14ac:dyDescent="0.2">
      <c r="A47" s="9"/>
      <c r="B47" s="9"/>
      <c r="C47" s="12" t="s">
        <v>136</v>
      </c>
      <c r="D47" s="13">
        <v>3855.89</v>
      </c>
      <c r="E47" s="13">
        <v>3982.41</v>
      </c>
      <c r="F47" s="13">
        <v>2622.81</v>
      </c>
      <c r="G47" s="13">
        <v>2422.25</v>
      </c>
      <c r="H47" s="13">
        <v>1509.52</v>
      </c>
      <c r="I47" s="13">
        <v>4069.35</v>
      </c>
      <c r="J47" s="13">
        <v>9126.49</v>
      </c>
      <c r="K47" s="13">
        <v>8163.79</v>
      </c>
      <c r="L47" s="13">
        <v>7870.32</v>
      </c>
      <c r="M47" s="13">
        <v>6713.17</v>
      </c>
      <c r="N47" s="13">
        <v>5119.7</v>
      </c>
      <c r="O47" s="13">
        <v>6762.35</v>
      </c>
      <c r="P47" s="13">
        <v>6188.11</v>
      </c>
      <c r="Q47" s="13">
        <v>4506.1000000000004</v>
      </c>
      <c r="R47" s="13">
        <v>3113.98</v>
      </c>
      <c r="S47" s="13">
        <v>1988.52</v>
      </c>
      <c r="T47" s="13">
        <v>1041.53</v>
      </c>
      <c r="U47" s="13">
        <v>199.14</v>
      </c>
      <c r="V47" s="9"/>
      <c r="W47" s="9"/>
      <c r="X47" s="9"/>
      <c r="Y47" s="9"/>
      <c r="Z47" s="9"/>
    </row>
    <row r="48" spans="1:26" ht="10.5" customHeight="1" x14ac:dyDescent="0.2">
      <c r="A48" s="9"/>
      <c r="B48" s="9"/>
      <c r="C48" s="12" t="s">
        <v>137</v>
      </c>
      <c r="D48" s="13">
        <v>-1290</v>
      </c>
      <c r="E48" s="13">
        <v>-1075</v>
      </c>
      <c r="F48" s="13">
        <v>-860</v>
      </c>
      <c r="G48" s="13">
        <v>-645</v>
      </c>
      <c r="H48" s="13">
        <v>-430</v>
      </c>
      <c r="I48" s="13">
        <v>-215</v>
      </c>
      <c r="J48" s="13">
        <v>0</v>
      </c>
      <c r="K48" s="13">
        <v>0</v>
      </c>
      <c r="L48" s="13">
        <v>-850</v>
      </c>
      <c r="M48" s="13">
        <v>-850</v>
      </c>
      <c r="N48" s="13">
        <v>-1450</v>
      </c>
      <c r="O48" s="13">
        <v>-1250</v>
      </c>
      <c r="P48" s="13">
        <v>-1250</v>
      </c>
      <c r="Q48" s="13">
        <v>-1250</v>
      </c>
      <c r="R48" s="13">
        <v>-1250</v>
      </c>
      <c r="S48" s="13">
        <v>-1250</v>
      </c>
      <c r="T48" s="13">
        <v>-1250</v>
      </c>
      <c r="U48" s="13">
        <v>-1250</v>
      </c>
      <c r="V48" s="9"/>
      <c r="W48" s="9"/>
      <c r="X48" s="9"/>
      <c r="Y48" s="9"/>
      <c r="Z48" s="9"/>
    </row>
    <row r="49" spans="1:26" ht="10.5" customHeight="1" x14ac:dyDescent="0.2">
      <c r="A49" s="9"/>
      <c r="B49" s="9"/>
      <c r="C49" s="12" t="s">
        <v>139</v>
      </c>
      <c r="D49" s="13">
        <v>0</v>
      </c>
      <c r="E49" s="13">
        <v>5400</v>
      </c>
      <c r="F49" s="13">
        <v>4500</v>
      </c>
      <c r="G49" s="13">
        <v>6300</v>
      </c>
      <c r="H49" s="13">
        <v>3600</v>
      </c>
      <c r="I49" s="13">
        <v>4500</v>
      </c>
      <c r="J49" s="13">
        <v>2000</v>
      </c>
      <c r="K49" s="13">
        <v>1000</v>
      </c>
      <c r="L49" s="13">
        <v>5000</v>
      </c>
      <c r="M49" s="13">
        <v>2000</v>
      </c>
      <c r="N49" s="13">
        <v>5000</v>
      </c>
      <c r="O49" s="13">
        <v>4000</v>
      </c>
      <c r="P49" s="13">
        <v>4000</v>
      </c>
      <c r="Q49" s="13">
        <v>0</v>
      </c>
      <c r="R49" s="13">
        <v>2000</v>
      </c>
      <c r="S49" s="13">
        <v>1000</v>
      </c>
      <c r="T49" s="13">
        <v>6000</v>
      </c>
      <c r="U49" s="13">
        <v>0</v>
      </c>
      <c r="V49" s="9"/>
      <c r="W49" s="9"/>
      <c r="X49" s="9"/>
      <c r="Y49" s="9"/>
      <c r="Z49" s="9"/>
    </row>
    <row r="50" spans="1:26" ht="10.5" customHeight="1" x14ac:dyDescent="0.2">
      <c r="A50" s="9"/>
      <c r="B50" s="9"/>
      <c r="C50" s="12" t="s">
        <v>142</v>
      </c>
      <c r="D50" s="13">
        <v>17624.59</v>
      </c>
      <c r="E50" s="13">
        <v>19778.45</v>
      </c>
      <c r="F50" s="13">
        <v>13375</v>
      </c>
      <c r="G50" s="13">
        <v>14250.42</v>
      </c>
      <c r="H50" s="13">
        <v>21106.91</v>
      </c>
      <c r="I50" s="13">
        <v>20133.849999999999</v>
      </c>
      <c r="J50" s="13">
        <v>17068.75</v>
      </c>
      <c r="K50" s="13">
        <v>18020.79</v>
      </c>
      <c r="L50" s="13">
        <v>16237.51</v>
      </c>
      <c r="M50" s="13">
        <v>15554.13</v>
      </c>
      <c r="N50" s="13">
        <v>16168.56</v>
      </c>
      <c r="O50" s="13">
        <v>13940.64</v>
      </c>
      <c r="P50" s="13">
        <v>5857.98</v>
      </c>
      <c r="Q50" s="13">
        <v>12801.07</v>
      </c>
      <c r="R50" s="13">
        <v>15275.27</v>
      </c>
      <c r="S50" s="13">
        <v>12523.08</v>
      </c>
      <c r="T50" s="13">
        <v>9486.1200000000008</v>
      </c>
      <c r="U50" s="13">
        <v>9320.49</v>
      </c>
      <c r="V50" s="9"/>
      <c r="W50" s="9"/>
      <c r="X50" s="9"/>
      <c r="Y50" s="9"/>
      <c r="Z50" s="9"/>
    </row>
    <row r="51" spans="1:26" ht="10.5" customHeight="1" x14ac:dyDescent="0.2">
      <c r="A51" s="9"/>
      <c r="B51" s="9"/>
      <c r="C51" s="12" t="s">
        <v>144</v>
      </c>
      <c r="D51" s="13">
        <v>28982.52</v>
      </c>
      <c r="E51" s="13">
        <v>27940.86</v>
      </c>
      <c r="F51" s="13">
        <v>25830.86</v>
      </c>
      <c r="G51" s="13">
        <v>23720.86</v>
      </c>
      <c r="H51" s="13">
        <v>22259.19</v>
      </c>
      <c r="I51" s="13">
        <v>20317.52</v>
      </c>
      <c r="J51" s="13">
        <v>18144.189999999999</v>
      </c>
      <c r="K51" s="13">
        <v>16554.189999999999</v>
      </c>
      <c r="L51" s="13">
        <v>17034.189999999999</v>
      </c>
      <c r="M51" s="13">
        <v>15444.19</v>
      </c>
      <c r="N51" s="13">
        <v>13854.19</v>
      </c>
      <c r="O51" s="13">
        <v>174.19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9"/>
      <c r="W51" s="9"/>
      <c r="X51" s="9"/>
      <c r="Y51" s="9"/>
      <c r="Z51" s="9"/>
    </row>
    <row r="52" spans="1:26" ht="10.5" customHeight="1" x14ac:dyDescent="0.2">
      <c r="A52" s="9"/>
      <c r="B52" s="9"/>
      <c r="C52" s="12" t="s">
        <v>193</v>
      </c>
      <c r="D52" s="13">
        <v>52592.27</v>
      </c>
      <c r="E52" s="13">
        <v>42207.71</v>
      </c>
      <c r="F52" s="13">
        <v>47707.28</v>
      </c>
      <c r="G52" s="13">
        <v>58005.31</v>
      </c>
      <c r="H52" s="13">
        <v>52300.01</v>
      </c>
      <c r="I52" s="13">
        <v>48576.26</v>
      </c>
      <c r="J52" s="13">
        <v>51779.64</v>
      </c>
      <c r="K52" s="13">
        <v>49497.72</v>
      </c>
      <c r="L52" s="13">
        <v>57702.55</v>
      </c>
      <c r="M52" s="13">
        <v>34135.629999999997</v>
      </c>
      <c r="N52" s="13">
        <v>48359.92</v>
      </c>
      <c r="O52" s="13">
        <v>29553.02</v>
      </c>
      <c r="P52" s="13">
        <v>30472.67</v>
      </c>
      <c r="Q52" s="13">
        <v>21788.45</v>
      </c>
      <c r="R52" s="13">
        <v>23356.39</v>
      </c>
      <c r="S52" s="13">
        <v>32793.81</v>
      </c>
      <c r="T52" s="13">
        <v>63543.76</v>
      </c>
      <c r="U52" s="13">
        <v>50885.13</v>
      </c>
      <c r="V52" s="9"/>
      <c r="W52" s="9"/>
      <c r="X52" s="9"/>
      <c r="Y52" s="9"/>
      <c r="Z52" s="9"/>
    </row>
    <row r="53" spans="1:26" ht="10.5" customHeight="1" x14ac:dyDescent="0.2">
      <c r="A53" s="9"/>
      <c r="B53" s="9"/>
      <c r="C53" s="12" t="s">
        <v>194</v>
      </c>
      <c r="D53" s="13">
        <v>495.69</v>
      </c>
      <c r="E53" s="13">
        <v>376.14</v>
      </c>
      <c r="F53" s="13">
        <v>258.92</v>
      </c>
      <c r="G53" s="13">
        <v>519.52</v>
      </c>
      <c r="H53" s="13">
        <v>505.16</v>
      </c>
      <c r="I53" s="13">
        <v>38273.57</v>
      </c>
      <c r="J53" s="13">
        <v>37805.120000000003</v>
      </c>
      <c r="K53" s="13">
        <v>37241.06</v>
      </c>
      <c r="L53" s="13">
        <v>36004.07</v>
      </c>
      <c r="M53" s="13">
        <v>35096.449999999997</v>
      </c>
      <c r="N53" s="13">
        <v>34780.19</v>
      </c>
      <c r="O53" s="13">
        <v>33218.870000000003</v>
      </c>
      <c r="P53" s="13">
        <v>32129.759999999998</v>
      </c>
      <c r="Q53" s="13">
        <v>30802.57</v>
      </c>
      <c r="R53" s="13">
        <v>29315.1</v>
      </c>
      <c r="S53" s="13">
        <v>28272.58</v>
      </c>
      <c r="T53" s="13">
        <v>19977.52</v>
      </c>
      <c r="U53" s="13">
        <v>18701.04</v>
      </c>
      <c r="V53" s="9"/>
      <c r="W53" s="9"/>
      <c r="X53" s="9"/>
      <c r="Y53" s="9"/>
      <c r="Z53" s="9"/>
    </row>
    <row r="54" spans="1:26" ht="10.5" customHeight="1" x14ac:dyDescent="0.2">
      <c r="A54" s="9"/>
      <c r="B54" s="9"/>
      <c r="C54" s="14" t="s">
        <v>148</v>
      </c>
      <c r="D54" s="15">
        <f t="shared" ref="D54:U54" si="5">SUM(D42:D53)</f>
        <v>800137.22</v>
      </c>
      <c r="E54" s="15">
        <f t="shared" si="5"/>
        <v>646728.62</v>
      </c>
      <c r="F54" s="15">
        <f t="shared" si="5"/>
        <v>681830.93000000017</v>
      </c>
      <c r="G54" s="15">
        <f t="shared" si="5"/>
        <v>754281.5</v>
      </c>
      <c r="H54" s="15">
        <f t="shared" si="5"/>
        <v>741980.48</v>
      </c>
      <c r="I54" s="15">
        <f t="shared" si="5"/>
        <v>556839.66999999993</v>
      </c>
      <c r="J54" s="15">
        <f t="shared" si="5"/>
        <v>618024.15</v>
      </c>
      <c r="K54" s="15">
        <f t="shared" si="5"/>
        <v>624997.41999999993</v>
      </c>
      <c r="L54" s="15">
        <f t="shared" si="5"/>
        <v>639492.74</v>
      </c>
      <c r="M54" s="15">
        <f t="shared" si="5"/>
        <v>664854.52999999991</v>
      </c>
      <c r="N54" s="15">
        <f t="shared" si="5"/>
        <v>665184.80000000005</v>
      </c>
      <c r="O54" s="15">
        <f t="shared" si="5"/>
        <v>507846.26000000007</v>
      </c>
      <c r="P54" s="15">
        <f t="shared" si="5"/>
        <v>559719.38</v>
      </c>
      <c r="Q54" s="15">
        <f t="shared" si="5"/>
        <v>535010.75</v>
      </c>
      <c r="R54" s="15">
        <f t="shared" si="5"/>
        <v>598921.18999999994</v>
      </c>
      <c r="S54" s="15">
        <f t="shared" si="5"/>
        <v>617150.86</v>
      </c>
      <c r="T54" s="15">
        <f t="shared" si="5"/>
        <v>744966.07</v>
      </c>
      <c r="U54" s="15">
        <f t="shared" si="5"/>
        <v>727287.70000000007</v>
      </c>
      <c r="V54" s="9"/>
      <c r="W54" s="9"/>
      <c r="X54" s="9"/>
      <c r="Y54" s="9"/>
      <c r="Z54" s="9"/>
    </row>
    <row r="55" spans="1:26" ht="10.5" customHeight="1" x14ac:dyDescent="0.2">
      <c r="A55" s="16"/>
      <c r="B55" s="16"/>
      <c r="C55" s="16" t="s">
        <v>154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9"/>
      <c r="W55" s="9"/>
      <c r="X55" s="9"/>
      <c r="Y55" s="9"/>
      <c r="Z55" s="9"/>
    </row>
    <row r="56" spans="1:26" ht="10.5" customHeight="1" x14ac:dyDescent="0.2">
      <c r="A56" s="9"/>
      <c r="B56" s="9"/>
      <c r="C56" s="12" t="s">
        <v>156</v>
      </c>
      <c r="D56" s="13">
        <v>2038.36</v>
      </c>
      <c r="E56" s="13">
        <v>854.8</v>
      </c>
      <c r="F56" s="13">
        <v>345.21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9"/>
      <c r="W56" s="9"/>
      <c r="X56" s="9"/>
      <c r="Y56" s="9"/>
      <c r="Z56" s="9"/>
    </row>
    <row r="57" spans="1:26" ht="10.5" customHeight="1" x14ac:dyDescent="0.2">
      <c r="A57" s="9"/>
      <c r="B57" s="9"/>
      <c r="C57" s="12" t="s">
        <v>158</v>
      </c>
      <c r="D57" s="13">
        <v>200000</v>
      </c>
      <c r="E57" s="13">
        <v>100000</v>
      </c>
      <c r="F57" s="13">
        <v>100000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9"/>
      <c r="W57" s="9"/>
      <c r="X57" s="9"/>
      <c r="Y57" s="9"/>
      <c r="Z57" s="9"/>
    </row>
    <row r="58" spans="1:26" ht="10.5" customHeight="1" x14ac:dyDescent="0.2">
      <c r="A58" s="9"/>
      <c r="B58" s="9"/>
      <c r="C58" s="14" t="s">
        <v>160</v>
      </c>
      <c r="D58" s="15">
        <f t="shared" ref="D58:U58" si="6">SUM(D56:D57)</f>
        <v>202038.36</v>
      </c>
      <c r="E58" s="15">
        <f t="shared" si="6"/>
        <v>100854.8</v>
      </c>
      <c r="F58" s="15">
        <f t="shared" si="6"/>
        <v>100345.21</v>
      </c>
      <c r="G58" s="15">
        <f t="shared" si="6"/>
        <v>0</v>
      </c>
      <c r="H58" s="15">
        <f t="shared" si="6"/>
        <v>0</v>
      </c>
      <c r="I58" s="15">
        <f t="shared" si="6"/>
        <v>0</v>
      </c>
      <c r="J58" s="15">
        <f t="shared" si="6"/>
        <v>0</v>
      </c>
      <c r="K58" s="15">
        <f t="shared" si="6"/>
        <v>0</v>
      </c>
      <c r="L58" s="15">
        <f t="shared" si="6"/>
        <v>0</v>
      </c>
      <c r="M58" s="15">
        <f t="shared" si="6"/>
        <v>0</v>
      </c>
      <c r="N58" s="15">
        <f t="shared" si="6"/>
        <v>0</v>
      </c>
      <c r="O58" s="15">
        <f t="shared" si="6"/>
        <v>0</v>
      </c>
      <c r="P58" s="15">
        <f t="shared" si="6"/>
        <v>0</v>
      </c>
      <c r="Q58" s="15">
        <f t="shared" si="6"/>
        <v>0</v>
      </c>
      <c r="R58" s="15">
        <f t="shared" si="6"/>
        <v>0</v>
      </c>
      <c r="S58" s="15">
        <f t="shared" si="6"/>
        <v>0</v>
      </c>
      <c r="T58" s="15">
        <f t="shared" si="6"/>
        <v>0</v>
      </c>
      <c r="U58" s="15">
        <f t="shared" si="6"/>
        <v>0</v>
      </c>
      <c r="V58" s="9"/>
      <c r="W58" s="9"/>
      <c r="X58" s="9"/>
      <c r="Y58" s="9"/>
      <c r="Z58" s="9"/>
    </row>
    <row r="59" spans="1:26" ht="10.5" customHeight="1" x14ac:dyDescent="0.2">
      <c r="A59" s="9"/>
      <c r="B59" s="14" t="s">
        <v>165</v>
      </c>
      <c r="C59" s="9"/>
      <c r="D59" s="15">
        <f t="shared" ref="D59:U59" si="7">(0 + (D54 + D58))</f>
        <v>1002175.58</v>
      </c>
      <c r="E59" s="15">
        <f t="shared" si="7"/>
        <v>747583.42</v>
      </c>
      <c r="F59" s="15">
        <f t="shared" si="7"/>
        <v>782176.14000000013</v>
      </c>
      <c r="G59" s="15">
        <f t="shared" si="7"/>
        <v>754281.5</v>
      </c>
      <c r="H59" s="15">
        <f t="shared" si="7"/>
        <v>741980.48</v>
      </c>
      <c r="I59" s="15">
        <f t="shared" si="7"/>
        <v>556839.66999999993</v>
      </c>
      <c r="J59" s="15">
        <f t="shared" si="7"/>
        <v>618024.15</v>
      </c>
      <c r="K59" s="15">
        <f t="shared" si="7"/>
        <v>624997.41999999993</v>
      </c>
      <c r="L59" s="15">
        <f t="shared" si="7"/>
        <v>639492.74</v>
      </c>
      <c r="M59" s="15">
        <f t="shared" si="7"/>
        <v>664854.52999999991</v>
      </c>
      <c r="N59" s="15">
        <f t="shared" si="7"/>
        <v>665184.80000000005</v>
      </c>
      <c r="O59" s="15">
        <f t="shared" si="7"/>
        <v>507846.26000000007</v>
      </c>
      <c r="P59" s="15">
        <f t="shared" si="7"/>
        <v>559719.38</v>
      </c>
      <c r="Q59" s="15">
        <f t="shared" si="7"/>
        <v>535010.75</v>
      </c>
      <c r="R59" s="15">
        <f t="shared" si="7"/>
        <v>598921.18999999994</v>
      </c>
      <c r="S59" s="15">
        <f t="shared" si="7"/>
        <v>617150.86</v>
      </c>
      <c r="T59" s="15">
        <f t="shared" si="7"/>
        <v>744966.07</v>
      </c>
      <c r="U59" s="15">
        <f t="shared" si="7"/>
        <v>727287.70000000007</v>
      </c>
      <c r="V59" s="9"/>
      <c r="W59" s="9"/>
      <c r="X59" s="9"/>
      <c r="Y59" s="9"/>
      <c r="Z59" s="9"/>
    </row>
    <row r="60" spans="1:26" ht="10.5" customHeight="1" x14ac:dyDescent="0.2">
      <c r="A60" s="16"/>
      <c r="B60" s="16" t="s">
        <v>171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9"/>
      <c r="W60" s="9"/>
      <c r="X60" s="9"/>
      <c r="Y60" s="9"/>
      <c r="Z60" s="9"/>
    </row>
    <row r="61" spans="1:26" ht="10.5" customHeight="1" x14ac:dyDescent="0.2">
      <c r="A61" s="9"/>
      <c r="B61" s="9"/>
      <c r="C61" s="12" t="s">
        <v>172</v>
      </c>
      <c r="D61" s="13">
        <v>2068.39</v>
      </c>
      <c r="E61" s="13">
        <v>2068.39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7348.3</v>
      </c>
      <c r="L61" s="13">
        <v>7330.04</v>
      </c>
      <c r="M61" s="13">
        <v>7311.67</v>
      </c>
      <c r="N61" s="13">
        <v>7293.3</v>
      </c>
      <c r="O61" s="13">
        <v>7274.93</v>
      </c>
      <c r="P61" s="13">
        <v>7256.67</v>
      </c>
      <c r="Q61" s="13">
        <v>7039.66</v>
      </c>
      <c r="R61" s="13">
        <v>6624.01</v>
      </c>
      <c r="S61" s="13">
        <v>36.74</v>
      </c>
      <c r="T61" s="13">
        <v>36.74</v>
      </c>
      <c r="U61" s="13">
        <v>18.37</v>
      </c>
      <c r="V61" s="9"/>
      <c r="W61" s="9"/>
      <c r="X61" s="9"/>
      <c r="Y61" s="9"/>
      <c r="Z61" s="9"/>
    </row>
    <row r="62" spans="1:26" ht="10.5" customHeight="1" x14ac:dyDescent="0.2">
      <c r="A62" s="9"/>
      <c r="B62" s="9"/>
      <c r="C62" s="12" t="s">
        <v>175</v>
      </c>
      <c r="D62" s="13">
        <v>7365.76</v>
      </c>
      <c r="E62" s="13">
        <v>7365.76</v>
      </c>
      <c r="F62" s="13">
        <v>7365.76</v>
      </c>
      <c r="G62" s="13">
        <v>7365.76</v>
      </c>
      <c r="H62" s="13">
        <v>7365.76</v>
      </c>
      <c r="I62" s="13">
        <v>7365.76</v>
      </c>
      <c r="J62" s="13">
        <v>7365.76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9"/>
      <c r="W62" s="9"/>
      <c r="X62" s="9"/>
      <c r="Y62" s="9"/>
      <c r="Z62" s="9"/>
    </row>
    <row r="63" spans="1:26" ht="10.5" customHeight="1" x14ac:dyDescent="0.2">
      <c r="A63" s="9"/>
      <c r="B63" s="9"/>
      <c r="C63" s="12" t="s">
        <v>178</v>
      </c>
      <c r="D63" s="13">
        <v>-1987916.44</v>
      </c>
      <c r="E63" s="13">
        <v>-1657160.36</v>
      </c>
      <c r="F63" s="13">
        <v>-1318060.76</v>
      </c>
      <c r="G63" s="13">
        <v>-996884.91</v>
      </c>
      <c r="H63" s="13">
        <v>-720890.81</v>
      </c>
      <c r="I63" s="13">
        <v>-344312.38</v>
      </c>
      <c r="J63" s="13">
        <v>-3415098.97</v>
      </c>
      <c r="K63" s="13">
        <v>-3949650.38</v>
      </c>
      <c r="L63" s="13">
        <v>-3662740.34</v>
      </c>
      <c r="M63" s="13">
        <v>-3316346.12</v>
      </c>
      <c r="N63" s="13">
        <v>-2955994.67</v>
      </c>
      <c r="O63" s="13">
        <v>-2639222.7799999998</v>
      </c>
      <c r="P63" s="13">
        <v>-2313235.8199999998</v>
      </c>
      <c r="Q63" s="13">
        <v>-1956989.6</v>
      </c>
      <c r="R63" s="13">
        <v>-1602337.29</v>
      </c>
      <c r="S63" s="13">
        <v>-1211869.05</v>
      </c>
      <c r="T63" s="13">
        <v>-799308.68</v>
      </c>
      <c r="U63" s="13">
        <v>-382905.03</v>
      </c>
      <c r="V63" s="9"/>
      <c r="W63" s="9"/>
      <c r="X63" s="9"/>
      <c r="Y63" s="9"/>
      <c r="Z63" s="9"/>
    </row>
    <row r="64" spans="1:26" ht="10.5" customHeight="1" x14ac:dyDescent="0.2">
      <c r="A64" s="9"/>
      <c r="B64" s="9"/>
      <c r="C64" s="12" t="s">
        <v>180</v>
      </c>
      <c r="D64" s="13">
        <v>1021351.38</v>
      </c>
      <c r="E64" s="13">
        <v>1021351.38</v>
      </c>
      <c r="F64" s="13">
        <v>1021351.38</v>
      </c>
      <c r="G64" s="13">
        <v>1021351.38</v>
      </c>
      <c r="H64" s="13">
        <v>1021351.38</v>
      </c>
      <c r="I64" s="13">
        <v>1021351.38</v>
      </c>
      <c r="J64" s="13">
        <v>1021351.38</v>
      </c>
      <c r="K64" s="13">
        <v>1021350.47</v>
      </c>
      <c r="L64" s="13">
        <v>1021350.47</v>
      </c>
      <c r="M64" s="13">
        <v>1021350.47</v>
      </c>
      <c r="N64" s="13">
        <v>1021350.47</v>
      </c>
      <c r="O64" s="13">
        <v>1021350.47</v>
      </c>
      <c r="P64" s="13">
        <v>1021350.47</v>
      </c>
      <c r="Q64" s="13">
        <v>1021350.47</v>
      </c>
      <c r="R64" s="13">
        <v>1021350.47</v>
      </c>
      <c r="S64" s="13">
        <v>1021350.47</v>
      </c>
      <c r="T64" s="13">
        <v>1021350.47</v>
      </c>
      <c r="U64" s="13">
        <v>1021350.47</v>
      </c>
      <c r="V64" s="9"/>
      <c r="W64" s="9"/>
      <c r="X64" s="9"/>
      <c r="Y64" s="9"/>
      <c r="Z64" s="9"/>
    </row>
    <row r="65" spans="1:26" ht="10.5" customHeight="1" x14ac:dyDescent="0.2">
      <c r="A65" s="9"/>
      <c r="B65" s="9"/>
      <c r="C65" s="12" t="s">
        <v>182</v>
      </c>
      <c r="D65" s="13">
        <v>6046376.8099999996</v>
      </c>
      <c r="E65" s="13">
        <v>6046376.8099999996</v>
      </c>
      <c r="F65" s="13">
        <v>6046376.8099999996</v>
      </c>
      <c r="G65" s="13">
        <v>6046376.8099999996</v>
      </c>
      <c r="H65" s="13">
        <v>6046376.8099999996</v>
      </c>
      <c r="I65" s="13">
        <v>6046376.8099999996</v>
      </c>
      <c r="J65" s="13">
        <v>6046376.8099999996</v>
      </c>
      <c r="K65" s="13">
        <v>6046376.8099999996</v>
      </c>
      <c r="L65" s="13">
        <v>6046376.8099999996</v>
      </c>
      <c r="M65" s="13">
        <v>6046376.8099999996</v>
      </c>
      <c r="N65" s="13">
        <v>6046376.8099999996</v>
      </c>
      <c r="O65" s="13">
        <v>6046376.8099999996</v>
      </c>
      <c r="P65" s="13">
        <v>6046376.8099999996</v>
      </c>
      <c r="Q65" s="13">
        <v>6046376.8099999996</v>
      </c>
      <c r="R65" s="13">
        <v>6046376.8099999996</v>
      </c>
      <c r="S65" s="13">
        <v>6046376.8099999996</v>
      </c>
      <c r="T65" s="13">
        <v>6046376.8099999996</v>
      </c>
      <c r="U65" s="13">
        <v>6046376.8099999996</v>
      </c>
      <c r="V65" s="9"/>
      <c r="W65" s="9"/>
      <c r="X65" s="9"/>
      <c r="Y65" s="9"/>
      <c r="Z65" s="9"/>
    </row>
    <row r="66" spans="1:26" ht="10.5" customHeight="1" x14ac:dyDescent="0.2">
      <c r="A66" s="9"/>
      <c r="B66" s="9"/>
      <c r="C66" s="12" t="s">
        <v>184</v>
      </c>
      <c r="D66" s="13">
        <v>8127596.0499999998</v>
      </c>
      <c r="E66" s="13">
        <v>8127596.0499999998</v>
      </c>
      <c r="F66" s="13">
        <v>8127596.0499999998</v>
      </c>
      <c r="G66" s="13">
        <v>8127596.0499999998</v>
      </c>
      <c r="H66" s="13">
        <v>8127596.0499999998</v>
      </c>
      <c r="I66" s="13">
        <v>8127596.0499999998</v>
      </c>
      <c r="J66" s="13">
        <v>8127596.0499999998</v>
      </c>
      <c r="K66" s="13">
        <v>8127596.0499999998</v>
      </c>
      <c r="L66" s="13">
        <v>8127596.0499999998</v>
      </c>
      <c r="M66" s="13">
        <v>8127596.0499999998</v>
      </c>
      <c r="N66" s="13">
        <v>8127596.0499999998</v>
      </c>
      <c r="O66" s="13">
        <v>8127596.0499999998</v>
      </c>
      <c r="P66" s="13">
        <v>8127596.0499999998</v>
      </c>
      <c r="Q66" s="13">
        <v>8127596.0499999998</v>
      </c>
      <c r="R66" s="13">
        <v>8127596.0499999998</v>
      </c>
      <c r="S66" s="13">
        <v>8127596.0499999998</v>
      </c>
      <c r="T66" s="13">
        <v>8127596.0499999998</v>
      </c>
      <c r="U66" s="13">
        <v>8127596.0499999998</v>
      </c>
      <c r="V66" s="9"/>
      <c r="W66" s="9"/>
      <c r="X66" s="9"/>
      <c r="Y66" s="9"/>
      <c r="Z66" s="9"/>
    </row>
    <row r="67" spans="1:26" ht="10.5" customHeight="1" x14ac:dyDescent="0.2">
      <c r="A67" s="9"/>
      <c r="B67" s="9"/>
      <c r="C67" s="12" t="s">
        <v>185</v>
      </c>
      <c r="D67" s="13">
        <v>-95452.02</v>
      </c>
      <c r="E67" s="13">
        <v>-95452.02</v>
      </c>
      <c r="F67" s="13">
        <v>-95452.02</v>
      </c>
      <c r="G67" s="13">
        <v>-95452.02</v>
      </c>
      <c r="H67" s="13">
        <v>-95452.02</v>
      </c>
      <c r="I67" s="13">
        <v>-95452.02</v>
      </c>
      <c r="J67" s="13">
        <v>-95452.02</v>
      </c>
      <c r="K67" s="13">
        <v>-95452.02</v>
      </c>
      <c r="L67" s="13">
        <v>-95452.02</v>
      </c>
      <c r="M67" s="13">
        <v>-95452.02</v>
      </c>
      <c r="N67" s="13">
        <v>-95452.02</v>
      </c>
      <c r="O67" s="13">
        <v>-95452.02</v>
      </c>
      <c r="P67" s="13">
        <v>-95452.02</v>
      </c>
      <c r="Q67" s="13">
        <v>-95452.02</v>
      </c>
      <c r="R67" s="13">
        <v>-95452.02</v>
      </c>
      <c r="S67" s="13">
        <v>-95452.02</v>
      </c>
      <c r="T67" s="13">
        <v>-95452.02</v>
      </c>
      <c r="U67" s="13">
        <v>-95452.02</v>
      </c>
      <c r="V67" s="9"/>
      <c r="W67" s="9"/>
      <c r="X67" s="9"/>
      <c r="Y67" s="9"/>
      <c r="Z67" s="9"/>
    </row>
    <row r="68" spans="1:26" ht="10.5" customHeight="1" x14ac:dyDescent="0.2">
      <c r="A68" s="9"/>
      <c r="B68" s="9"/>
      <c r="C68" s="12" t="s">
        <v>186</v>
      </c>
      <c r="D68" s="13">
        <v>1179695.6100000001</v>
      </c>
      <c r="E68" s="13">
        <v>1179695.6100000001</v>
      </c>
      <c r="F68" s="13">
        <v>1179695.6100000001</v>
      </c>
      <c r="G68" s="13">
        <v>1179695.6100000001</v>
      </c>
      <c r="H68" s="13">
        <v>1179695.6100000001</v>
      </c>
      <c r="I68" s="13">
        <v>1179695.6100000001</v>
      </c>
      <c r="J68" s="13">
        <v>1179695.6100000001</v>
      </c>
      <c r="K68" s="13">
        <v>845035.08</v>
      </c>
      <c r="L68" s="13">
        <v>845035.08</v>
      </c>
      <c r="M68" s="13">
        <v>845035.08</v>
      </c>
      <c r="N68" s="13">
        <v>845035.08</v>
      </c>
      <c r="O68" s="13">
        <v>845035.08</v>
      </c>
      <c r="P68" s="13">
        <v>845035.08</v>
      </c>
      <c r="Q68" s="13">
        <v>845035.08</v>
      </c>
      <c r="R68" s="13">
        <v>845035.08</v>
      </c>
      <c r="S68" s="13">
        <v>845035.08</v>
      </c>
      <c r="T68" s="13">
        <v>845035.08</v>
      </c>
      <c r="U68" s="13">
        <v>845035.08</v>
      </c>
      <c r="V68" s="9"/>
      <c r="W68" s="9"/>
      <c r="X68" s="9"/>
      <c r="Y68" s="9"/>
      <c r="Z68" s="9"/>
    </row>
    <row r="69" spans="1:26" ht="10.5" customHeight="1" x14ac:dyDescent="0.2">
      <c r="A69" s="9"/>
      <c r="B69" s="9"/>
      <c r="C69" s="12" t="s">
        <v>187</v>
      </c>
      <c r="D69" s="13">
        <v>-11111409.57</v>
      </c>
      <c r="E69" s="13">
        <v>-11111409.57</v>
      </c>
      <c r="F69" s="13">
        <v>-11111409.57</v>
      </c>
      <c r="G69" s="13">
        <v>-11111409.57</v>
      </c>
      <c r="H69" s="13">
        <v>-11111409.57</v>
      </c>
      <c r="I69" s="13">
        <v>-11111409.57</v>
      </c>
      <c r="J69" s="13">
        <v>-7696310.5999999996</v>
      </c>
      <c r="K69" s="13">
        <v>-7696310.5999999996</v>
      </c>
      <c r="L69" s="13">
        <v>-7696310.5999999996</v>
      </c>
      <c r="M69" s="13">
        <v>-7696310.5999999996</v>
      </c>
      <c r="N69" s="13">
        <v>-7696310.5999999996</v>
      </c>
      <c r="O69" s="13">
        <v>-7696310.5999999996</v>
      </c>
      <c r="P69" s="13">
        <v>-7696310.5999999996</v>
      </c>
      <c r="Q69" s="13">
        <v>-7696310.5999999996</v>
      </c>
      <c r="R69" s="13">
        <v>-7696310.5999999996</v>
      </c>
      <c r="S69" s="13">
        <v>-7696310.5999999996</v>
      </c>
      <c r="T69" s="13">
        <v>-7696310.5999999996</v>
      </c>
      <c r="U69" s="13">
        <v>-7696310.5999999996</v>
      </c>
      <c r="V69" s="9"/>
      <c r="W69" s="9"/>
      <c r="X69" s="9"/>
      <c r="Y69" s="9"/>
      <c r="Z69" s="9"/>
    </row>
    <row r="70" spans="1:26" ht="10.5" customHeight="1" x14ac:dyDescent="0.2">
      <c r="A70" s="9"/>
      <c r="B70" s="14" t="s">
        <v>188</v>
      </c>
      <c r="C70" s="9"/>
      <c r="D70" s="15">
        <f t="shared" ref="D70:U70" si="8">SUM(D61:D69)</f>
        <v>3189675.9699999988</v>
      </c>
      <c r="E70" s="15">
        <f t="shared" si="8"/>
        <v>3520432.0499999989</v>
      </c>
      <c r="F70" s="15">
        <f t="shared" si="8"/>
        <v>3857463.2599999979</v>
      </c>
      <c r="G70" s="15">
        <f t="shared" si="8"/>
        <v>4178639.1099999994</v>
      </c>
      <c r="H70" s="15">
        <f t="shared" si="8"/>
        <v>4454633.209999999</v>
      </c>
      <c r="I70" s="15">
        <f t="shared" si="8"/>
        <v>4831211.6399999987</v>
      </c>
      <c r="J70" s="15">
        <f t="shared" si="8"/>
        <v>5175524.0199999996</v>
      </c>
      <c r="K70" s="15">
        <f t="shared" si="8"/>
        <v>4306293.7100000009</v>
      </c>
      <c r="L70" s="15">
        <f t="shared" si="8"/>
        <v>4593185.49</v>
      </c>
      <c r="M70" s="15">
        <f t="shared" si="8"/>
        <v>4939561.34</v>
      </c>
      <c r="N70" s="15">
        <f t="shared" si="8"/>
        <v>5299894.42</v>
      </c>
      <c r="O70" s="15">
        <f t="shared" si="8"/>
        <v>5616647.9400000013</v>
      </c>
      <c r="P70" s="15">
        <f t="shared" si="8"/>
        <v>5942616.6400000006</v>
      </c>
      <c r="Q70" s="15">
        <f t="shared" si="8"/>
        <v>6298645.8500000015</v>
      </c>
      <c r="R70" s="15">
        <f t="shared" si="8"/>
        <v>6652882.5100000016</v>
      </c>
      <c r="S70" s="15">
        <f t="shared" si="8"/>
        <v>7036763.4800000004</v>
      </c>
      <c r="T70" s="15">
        <f t="shared" si="8"/>
        <v>7449323.8500000015</v>
      </c>
      <c r="U70" s="15">
        <f t="shared" si="8"/>
        <v>7865709.129999999</v>
      </c>
      <c r="V70" s="9"/>
      <c r="W70" s="9"/>
      <c r="X70" s="9"/>
      <c r="Y70" s="9"/>
      <c r="Z70" s="9"/>
    </row>
    <row r="71" spans="1:26" ht="10.5" customHeight="1" x14ac:dyDescent="0.2">
      <c r="A71" s="14" t="s">
        <v>190</v>
      </c>
      <c r="B71" s="9"/>
      <c r="C71" s="9"/>
      <c r="D71" s="15">
        <f t="shared" ref="D71:U71" si="9">(0 + (D59 + D70))</f>
        <v>4191851.5499999989</v>
      </c>
      <c r="E71" s="15">
        <f t="shared" si="9"/>
        <v>4268015.4699999988</v>
      </c>
      <c r="F71" s="15">
        <f t="shared" si="9"/>
        <v>4639639.3999999985</v>
      </c>
      <c r="G71" s="15">
        <f t="shared" si="9"/>
        <v>4932920.6099999994</v>
      </c>
      <c r="H71" s="15">
        <f t="shared" si="9"/>
        <v>5196613.6899999995</v>
      </c>
      <c r="I71" s="15">
        <f t="shared" si="9"/>
        <v>5388051.3099999987</v>
      </c>
      <c r="J71" s="15">
        <f t="shared" si="9"/>
        <v>5793548.1699999999</v>
      </c>
      <c r="K71" s="15">
        <f t="shared" si="9"/>
        <v>4931291.1300000008</v>
      </c>
      <c r="L71" s="15">
        <f t="shared" si="9"/>
        <v>5232678.2300000004</v>
      </c>
      <c r="M71" s="15">
        <f t="shared" si="9"/>
        <v>5604415.8700000001</v>
      </c>
      <c r="N71" s="15">
        <f t="shared" si="9"/>
        <v>5965079.2199999997</v>
      </c>
      <c r="O71" s="15">
        <f t="shared" si="9"/>
        <v>6124494.2000000011</v>
      </c>
      <c r="P71" s="15">
        <f t="shared" si="9"/>
        <v>6502336.0200000005</v>
      </c>
      <c r="Q71" s="15">
        <f t="shared" si="9"/>
        <v>6833656.6000000015</v>
      </c>
      <c r="R71" s="15">
        <f t="shared" si="9"/>
        <v>7251803.7000000011</v>
      </c>
      <c r="S71" s="15">
        <f t="shared" si="9"/>
        <v>7653914.3400000008</v>
      </c>
      <c r="T71" s="15">
        <f t="shared" si="9"/>
        <v>8194289.9200000018</v>
      </c>
      <c r="U71" s="15">
        <f t="shared" si="9"/>
        <v>8592996.8299999982</v>
      </c>
      <c r="V71" s="9"/>
      <c r="W71" s="9"/>
      <c r="X71" s="9"/>
      <c r="Y71" s="9"/>
      <c r="Z71" s="9"/>
    </row>
    <row r="72" spans="1:26" ht="12.75" customHeight="1" x14ac:dyDescent="0.2"/>
    <row r="73" spans="1:26" ht="12.75" customHeight="1" x14ac:dyDescent="0.2"/>
    <row r="74" spans="1:26" ht="12.75" customHeight="1" x14ac:dyDescent="0.2"/>
    <row r="75" spans="1:26" ht="12.75" customHeight="1" x14ac:dyDescent="0.2"/>
    <row r="76" spans="1:26" ht="12.75" customHeight="1" x14ac:dyDescent="0.2"/>
    <row r="77" spans="1:26" ht="12.75" customHeight="1" x14ac:dyDescent="0.2"/>
    <row r="78" spans="1:26" ht="12.75" customHeight="1" x14ac:dyDescent="0.2"/>
    <row r="79" spans="1:26" ht="12.75" customHeight="1" x14ac:dyDescent="0.2"/>
    <row r="80" spans="1:26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Varshith C</cp:lastModifiedBy>
  <dcterms:modified xsi:type="dcterms:W3CDTF">2026-10-09T20:59:47Z</dcterms:modified>
</cp:coreProperties>
</file>